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Quality_Assurance_IA\QA-Engineer\.claude\project\requirements\Portal_Pacientes\REQ-BUPA-001-carga-portal\"/>
    </mc:Choice>
  </mc:AlternateContent>
  <xr:revisionPtr revIDLastSave="0" documentId="13_ncr:1_{656AC209-A735-4009-95F9-2FE13B5E57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 de Pruebas" sheetId="1" r:id="rId1"/>
    <sheet name="Maestro" sheetId="2" state="hidden" r:id="rId2"/>
    <sheet name="Listas" sheetId="3" state="hidden" r:id="rId3"/>
  </sheets>
  <definedNames>
    <definedName name="B2B" localSheetId="1">#REF!</definedName>
    <definedName name="B2B">#REF!</definedName>
    <definedName name="COMPUREDES" localSheetId="1">#REF!</definedName>
    <definedName name="COMPUREDES">#REF!</definedName>
    <definedName name="COPS" localSheetId="1">#REF!</definedName>
    <definedName name="COPS">#REF!</definedName>
    <definedName name="CRM" localSheetId="1">#REF!</definedName>
    <definedName name="CRM">#REF!</definedName>
    <definedName name="Desarrollo" localSheetId="1">#REF!</definedName>
    <definedName name="Desarrollo">#REF!</definedName>
    <definedName name="DIGITAL" localSheetId="1">#REF!</definedName>
    <definedName name="DIGITAL">#REF!</definedName>
    <definedName name="DTH" localSheetId="1">#REF!</definedName>
    <definedName name="DTH">#REF!</definedName>
    <definedName name="DWH" localSheetId="1">#REF!</definedName>
    <definedName name="DWH">#REF!</definedName>
    <definedName name="DWH." localSheetId="1">#REF!</definedName>
    <definedName name="DWH.">#REF!</definedName>
    <definedName name="EquipoM" localSheetId="1">#REF!</definedName>
    <definedName name="EquipoM">#REF!</definedName>
    <definedName name="Estado" localSheetId="1">#REF!</definedName>
    <definedName name="Estado">#REF!</definedName>
    <definedName name="EstadosBugs" localSheetId="1">#REF!</definedName>
    <definedName name="EstadosBugs">#REF!</definedName>
    <definedName name="Estr" localSheetId="1">#REF!</definedName>
    <definedName name="Estr">#REF!</definedName>
    <definedName name="Etapa" localSheetId="1">#REF!</definedName>
    <definedName name="Etapa">#REF!</definedName>
    <definedName name="Evidencia" localSheetId="1">#REF!</definedName>
    <definedName name="Evidencia">#REF!</definedName>
    <definedName name="Evidencias" localSheetId="1">#REF!</definedName>
    <definedName name="Evidencias">#REF!</definedName>
    <definedName name="Fijo" localSheetId="1">#REF!</definedName>
    <definedName name="Fijo">#REF!</definedName>
    <definedName name="Financiera" localSheetId="1">#REF!</definedName>
    <definedName name="Financiera">#REF!</definedName>
    <definedName name="FIXES" localSheetId="1">#REF!</definedName>
    <definedName name="FIXES">#REF!</definedName>
    <definedName name="fixes." localSheetId="1">#REF!</definedName>
    <definedName name="fixes.">#REF!</definedName>
    <definedName name="Frecuencia" localSheetId="1">#REF!</definedName>
    <definedName name="Frecuencia">#REF!</definedName>
    <definedName name="Hogares" localSheetId="1">#REF!</definedName>
    <definedName name="Hogares">#REF!</definedName>
    <definedName name="Impacto" localSheetId="1">#REF!</definedName>
    <definedName name="Impacto">#REF!</definedName>
    <definedName name="Infraestructura" localSheetId="1">#REF!</definedName>
    <definedName name="Infraestructura">#REF!</definedName>
    <definedName name="MIFYL" localSheetId="1">#REF!</definedName>
    <definedName name="MIFYL">#REF!</definedName>
    <definedName name="mostrar_período_largo" localSheetId="1">CHOOSE(período,"enero","febrero","marzo","abril","mayo","junio","julio","agosto","septiembre","octubre","noviembre","diciembre","año")</definedName>
    <definedName name="mostrar_período_largo">CHOOSE(período,"enero","febrero","marzo","abril","mayo","junio","julio","agosto","septiembre","octubre","noviembre","diciembre","año")</definedName>
    <definedName name="Movil" localSheetId="1">#REF!</definedName>
    <definedName name="Movil">#REF!</definedName>
    <definedName name="Negocio" localSheetId="1">#REF!</definedName>
    <definedName name="Negocio">#REF!</definedName>
    <definedName name="Objetivo" localSheetId="1">#REF!</definedName>
    <definedName name="Objetivo">#REF!</definedName>
    <definedName name="Operaciones" localSheetId="1">#REF!</definedName>
    <definedName name="Operaciones">#REF!</definedName>
    <definedName name="Operaciones." localSheetId="1">#REF!</definedName>
    <definedName name="Operaciones.">#REF!</definedName>
    <definedName name="Peso" localSheetId="1">#REF!</definedName>
    <definedName name="Peso">#REF!</definedName>
    <definedName name="POE" localSheetId="1">#REF!</definedName>
    <definedName name="POE">#REF!</definedName>
    <definedName name="Prepago" localSheetId="1">#REF!</definedName>
    <definedName name="Prepago">#REF!</definedName>
    <definedName name="Probabilidad" localSheetId="1">#REF!</definedName>
    <definedName name="Probabilidad">#REF!</definedName>
    <definedName name="Pruebas" localSheetId="1">#REF!</definedName>
    <definedName name="Pruebas">#REF!</definedName>
    <definedName name="QVISION" localSheetId="1">#REF!</definedName>
    <definedName name="QVISION">#REF!</definedName>
    <definedName name="SiebelFijo" localSheetId="1">#REF!</definedName>
    <definedName name="SiebelFijo">#REF!</definedName>
    <definedName name="STEFANINI" localSheetId="1">#REF!</definedName>
    <definedName name="STEFANINI">#REF!</definedName>
    <definedName name="Terceros" localSheetId="1">#REF!</definedName>
    <definedName name="Terceros">#REF!</definedName>
    <definedName name="Transversales" localSheetId="1">#REF!</definedName>
    <definedName name="Transversales">#REF!</definedName>
    <definedName name="Usuarios" localSheetId="1">#REF!</definedName>
    <definedName name="Usuarios">#REF!</definedName>
    <definedName name="valores_de_período_de_categorías_de_gastos_mostradas" localSheetId="1">OFFSET(categorías_de_gastos_mostradas,,período)</definedName>
    <definedName name="valores_de_período_de_categorías_de_gastos_mostradas">OFFSET(categorías_de_gastos_mostradas,,período)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3" l="1"/>
  <c r="O12" i="3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AF9" i="2"/>
  <c r="AE9" i="2"/>
  <c r="AD9" i="2"/>
  <c r="AC9" i="2"/>
  <c r="AB9" i="2"/>
  <c r="AA9" i="2"/>
  <c r="Z9" i="2"/>
  <c r="Y9" i="2"/>
  <c r="X9" i="2"/>
  <c r="W9" i="2"/>
  <c r="V9" i="2"/>
  <c r="U9" i="2"/>
  <c r="AG9" i="2" s="1"/>
  <c r="E9" i="2"/>
  <c r="D9" i="2"/>
  <c r="C9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E8" i="2"/>
  <c r="D8" i="2"/>
  <c r="C8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E7" i="2"/>
  <c r="D7" i="2"/>
  <c r="C7" i="2"/>
  <c r="AF6" i="2"/>
  <c r="AE6" i="2"/>
  <c r="AD6" i="2"/>
  <c r="AC6" i="2"/>
  <c r="AB6" i="2"/>
  <c r="AA6" i="2"/>
  <c r="Z6" i="2"/>
  <c r="Y6" i="2"/>
  <c r="X6" i="2"/>
  <c r="W6" i="2"/>
  <c r="V6" i="2"/>
  <c r="U6" i="2"/>
  <c r="AG6" i="2" s="1"/>
  <c r="M6" i="2"/>
  <c r="K6" i="2"/>
  <c r="R7" i="2" s="1"/>
  <c r="E6" i="2"/>
  <c r="D6" i="2"/>
  <c r="C6" i="2"/>
  <c r="AF5" i="2"/>
  <c r="AE5" i="2"/>
  <c r="AD5" i="2"/>
  <c r="AC5" i="2"/>
  <c r="AB5" i="2"/>
  <c r="AA5" i="2"/>
  <c r="Z5" i="2"/>
  <c r="Y5" i="2"/>
  <c r="X5" i="2"/>
  <c r="W5" i="2"/>
  <c r="V5" i="2"/>
  <c r="U5" i="2"/>
  <c r="AG5" i="2" s="1"/>
  <c r="Q5" i="2"/>
  <c r="P5" i="2"/>
  <c r="O5" i="2"/>
  <c r="N5" i="2"/>
  <c r="M5" i="2"/>
  <c r="L5" i="2"/>
  <c r="K5" i="2"/>
  <c r="R5" i="2" s="1"/>
  <c r="E5" i="2"/>
  <c r="D5" i="2"/>
  <c r="C5" i="2"/>
  <c r="AF4" i="2"/>
  <c r="AE4" i="2"/>
  <c r="AD4" i="2"/>
  <c r="AC4" i="2"/>
  <c r="AB4" i="2"/>
  <c r="AA4" i="2"/>
  <c r="Z4" i="2"/>
  <c r="Y4" i="2"/>
  <c r="X4" i="2"/>
  <c r="W4" i="2"/>
  <c r="V4" i="2"/>
  <c r="U4" i="2"/>
  <c r="AG4" i="2" s="1"/>
  <c r="Q4" i="2"/>
  <c r="P4" i="2"/>
  <c r="O4" i="2"/>
  <c r="N4" i="2"/>
  <c r="M4" i="2"/>
  <c r="L4" i="2"/>
  <c r="K4" i="2"/>
  <c r="R4" i="2" s="1"/>
  <c r="E4" i="2"/>
  <c r="D4" i="2"/>
  <c r="C4" i="2"/>
  <c r="AF3" i="2"/>
  <c r="AF10" i="2" s="1"/>
  <c r="AE3" i="2"/>
  <c r="AE10" i="2" s="1"/>
  <c r="AD3" i="2"/>
  <c r="AD10" i="2" s="1"/>
  <c r="AD11" i="2" s="1"/>
  <c r="AC3" i="2"/>
  <c r="AC10" i="2" s="1"/>
  <c r="AB3" i="2"/>
  <c r="AB10" i="2" s="1"/>
  <c r="AA3" i="2"/>
  <c r="AA10" i="2" s="1"/>
  <c r="AA11" i="2" s="1"/>
  <c r="Z3" i="2"/>
  <c r="Z10" i="2" s="1"/>
  <c r="Y3" i="2"/>
  <c r="Y10" i="2" s="1"/>
  <c r="X3" i="2"/>
  <c r="X10" i="2" s="1"/>
  <c r="X11" i="2" s="1"/>
  <c r="W3" i="2"/>
  <c r="W10" i="2" s="1"/>
  <c r="V3" i="2"/>
  <c r="V10" i="2" s="1"/>
  <c r="U3" i="2"/>
  <c r="U10" i="2" s="1"/>
  <c r="U11" i="2" s="1"/>
  <c r="Q3" i="2"/>
  <c r="P3" i="2"/>
  <c r="O3" i="2"/>
  <c r="N3" i="2"/>
  <c r="M3" i="2"/>
  <c r="L3" i="2"/>
  <c r="K3" i="2"/>
  <c r="R3" i="2" s="1"/>
  <c r="E3" i="2"/>
  <c r="D3" i="2"/>
  <c r="C3" i="2"/>
  <c r="R2" i="2"/>
  <c r="R6" i="2" s="1"/>
  <c r="Q2" i="2"/>
  <c r="Q6" i="2" s="1"/>
  <c r="P2" i="2"/>
  <c r="P6" i="2" s="1"/>
  <c r="O2" i="2"/>
  <c r="O6" i="2" s="1"/>
  <c r="N2" i="2"/>
  <c r="N6" i="2" s="1"/>
  <c r="M2" i="2"/>
  <c r="L2" i="2"/>
  <c r="L6" i="2" s="1"/>
  <c r="K2" i="2"/>
  <c r="E2" i="2"/>
  <c r="D2" i="2"/>
  <c r="C2" i="2"/>
  <c r="B233" i="1"/>
  <c r="B66" i="1"/>
  <c r="AG3" i="2" l="1"/>
  <c r="AG10" i="2" s="1"/>
</calcChain>
</file>

<file path=xl/sharedStrings.xml><?xml version="1.0" encoding="utf-8"?>
<sst xmlns="http://schemas.openxmlformats.org/spreadsheetml/2006/main" count="494" uniqueCount="259">
  <si>
    <t>Pirámide de Testing - Base</t>
  </si>
  <si>
    <t>Unit Testing</t>
  </si>
  <si>
    <t>Proyecto: Por Definir  |  QA Lead: Jaime Quiñelen  |  Fecha: Abril 2026  |  Versión: v1.0</t>
  </si>
  <si>
    <t>ID</t>
  </si>
  <si>
    <t>Componente / Función Real</t>
  </si>
  <si>
    <t>Caso de Prueba</t>
  </si>
  <si>
    <t>Entrada</t>
  </si>
  <si>
    <t>Resultado Esperado</t>
  </si>
  <si>
    <t>Criterio SDD</t>
  </si>
  <si>
    <t>Prioridad</t>
  </si>
  <si>
    <t>Framework</t>
  </si>
  <si>
    <t>Notas /
Comentarios</t>
  </si>
  <si>
    <t>UT-001-01</t>
  </si>
  <si>
    <t>OrigenAppService</t>
  </si>
  <si>
    <t>Detectar plataforma web-desktop</t>
  </si>
  <si>
    <t>userAgent sin Mobi/Android, sin Capacitor</t>
  </si>
  <si>
    <t>origen_app = 'web-desktop'</t>
  </si>
  <si>
    <t>A</t>
  </si>
  <si>
    <t>Alta</t>
  </si>
  <si>
    <t>Jest</t>
  </si>
  <si>
    <t>UT-001-02</t>
  </si>
  <si>
    <t>Detectar plataforma web-mobile</t>
  </si>
  <si>
    <t>userAgent con Mobi</t>
  </si>
  <si>
    <t>origen_app = 'web-mobile'</t>
  </si>
  <si>
    <t>UT-001-03</t>
  </si>
  <si>
    <t>Detectar plataforma iOS app</t>
  </si>
  <si>
    <t>Capacitor.getPlatform() = 'ios'</t>
  </si>
  <si>
    <t>origen_app = 'ios-app'</t>
  </si>
  <si>
    <t>Media</t>
  </si>
  <si>
    <t>UT-001-04</t>
  </si>
  <si>
    <t>Detectar plataforma Android app</t>
  </si>
  <si>
    <t>Capacitor.getPlatform() = 'android'</t>
  </si>
  <si>
    <t>origen_app = 'android-app'</t>
  </si>
  <si>
    <t>UT-001-05</t>
  </si>
  <si>
    <t>RutValidatorService</t>
  </si>
  <si>
    <t>Validar RUT con formato correcto</t>
  </si>
  <si>
    <t>"12.345.678-9"</t>
  </si>
  <si>
    <t>true</t>
  </si>
  <si>
    <t>UT-001-06</t>
  </si>
  <si>
    <t>Rechazar RUT sin puntos ni guión</t>
  </si>
  <si>
    <t>"123456789"</t>
  </si>
  <si>
    <t>false</t>
  </si>
  <si>
    <t>UT-001-07</t>
  </si>
  <si>
    <t>Rechazar RUT con dígito verificador incorrecto</t>
  </si>
  <si>
    <t>"12.345.678-0"</t>
  </si>
  <si>
    <t>UT-001-08</t>
  </si>
  <si>
    <t>Aceptar RUT con dígito verificador K</t>
  </si>
  <si>
    <t>"5.126.663-K"</t>
  </si>
  <si>
    <t>UT-001-09</t>
  </si>
  <si>
    <t>LoginFormComponent</t>
  </si>
  <si>
    <t>Campo RUT requerido — no vacío</t>
  </si>
  <si>
    <t>rut = ""</t>
  </si>
  <si>
    <t>FormControl invalid</t>
  </si>
  <si>
    <t>UT-001-10</t>
  </si>
  <si>
    <t>Campo contraseña requerido — no vacío</t>
  </si>
  <si>
    <t>password = ""</t>
  </si>
  <si>
    <t>UT-001-11</t>
  </si>
  <si>
    <t>Formulario válido con ambos campos</t>
  </si>
  <si>
    <t>RUT válido + password</t>
  </si>
  <si>
    <t>form.valid = true</t>
  </si>
  <si>
    <t>UT-001-12</t>
  </si>
  <si>
    <t>RecaptchaService</t>
  </si>
  <si>
    <t>Cargar token reCAPTCHA correctamente</t>
  </si>
  <si>
    <t>Mock de Google reCAPTCHA v3</t>
  </si>
  <si>
    <t>Token retornado !== null</t>
  </si>
  <si>
    <t>UT-001-13</t>
  </si>
  <si>
    <t>Manejar fallo de reCAPTCHA</t>
  </si>
  <si>
    <t>Mock error de carga</t>
  </si>
  <si>
    <t>Error controlado, sin crash</t>
  </si>
  <si>
    <t>UT-001-14</t>
  </si>
  <si>
    <t>ProtocolValidatorService</t>
  </si>
  <si>
    <t>Validar protocolo HTTPS</t>
  </si>
  <si>
    <t>"https:"</t>
  </si>
  <si>
    <t>C</t>
  </si>
  <si>
    <t>UT-001-15</t>
  </si>
  <si>
    <t>Rechazar HTTP</t>
  </si>
  <si>
    <t>"http:"</t>
  </si>
  <si>
    <t>UT-001-16</t>
  </si>
  <si>
    <t>LoadTimeService</t>
  </si>
  <si>
    <t>Tiempo de carga bajo umbral</t>
  </si>
  <si>
    <t>elapsed = 2800ms</t>
  </si>
  <si>
    <t>pass</t>
  </si>
  <si>
    <t>B</t>
  </si>
  <si>
    <t>UT-001-17</t>
  </si>
  <si>
    <t>Tiempo de carga sobre umbral</t>
  </si>
  <si>
    <t>elapsed = 3200ms</t>
  </si>
  <si>
    <t>fail</t>
  </si>
  <si>
    <t>UT-001-18</t>
  </si>
  <si>
    <t>GtmService</t>
  </si>
  <si>
    <t>Push a dataLayer con origen_app</t>
  </si>
  <si>
    <t>Evento GTM simulado</t>
  </si>
  <si>
    <t>evento.origen_app !== undefined</t>
  </si>
  <si>
    <t>—</t>
  </si>
  <si>
    <t>Baja</t>
  </si>
  <si>
    <t>UT-001-19</t>
  </si>
  <si>
    <t>AppComponent</t>
  </si>
  <si>
    <t>Título de página correcto</t>
  </si>
  <si>
    <t>DOM renderizado</t>
  </si>
  <si>
    <t>document.title = "Inicio de sesión | Mi Portal Bupa"</t>
  </si>
  <si>
    <t>UT-001-20</t>
  </si>
  <si>
    <t>HealthCheckHandler</t>
  </si>
  <si>
    <t>Respuesta del endpoint /api/health → 200</t>
  </si>
  <si>
    <t>Request GET /api/health</t>
  </si>
  <si>
    <t>StatusCode 200 + body {status:"ok"}</t>
  </si>
  <si>
    <t>Edge Case</t>
  </si>
  <si>
    <t>Go Test</t>
  </si>
  <si>
    <t>UT-001-21</t>
  </si>
  <si>
    <t>AuthHandler</t>
  </si>
  <si>
    <t>Autenticación RUT + contraseña válidos</t>
  </si>
  <si>
    <t>RUT + password correctos</t>
  </si>
  <si>
    <t>Token de sesión generado</t>
  </si>
  <si>
    <t>UT-001-22</t>
  </si>
  <si>
    <t>Rechazar credenciales incorrectas</t>
  </si>
  <si>
    <t>RUT válido + password erróneo</t>
  </si>
  <si>
    <t>HTTP 401 Unauthorized</t>
  </si>
  <si>
    <t>UT-001-23</t>
  </si>
  <si>
    <t>JwtService</t>
  </si>
  <si>
    <t>Generación y validación de token JWT</t>
  </si>
  <si>
    <t>Payload de usuario autenticado</t>
  </si>
  <si>
    <t>Token válido, firma correcta</t>
  </si>
  <si>
    <t>UT-001-24</t>
  </si>
  <si>
    <t>TlsConfig</t>
  </si>
  <si>
    <t>Certificado SSL válido y no expirado</t>
  </si>
  <si>
    <t>Conexión TLS al servidor</t>
  </si>
  <si>
    <t>Handshake exitoso, cert vigente</t>
  </si>
  <si>
    <t>UT-001-25</t>
  </si>
  <si>
    <t>RateLimiterMiddleware</t>
  </si>
  <si>
    <t>Bloquear exceso de intentos de login</t>
  </si>
  <si>
    <t>6 intentos consecutivos fallidos</t>
  </si>
  <si>
    <t>HTTP 429 Too Many Requests</t>
  </si>
  <si>
    <t>UT-001-26</t>
  </si>
  <si>
    <t>Rechazar RUT con espacios</t>
  </si>
  <si>
    <t>"12 345 678-9"</t>
  </si>
  <si>
    <t>UT-001-27</t>
  </si>
  <si>
    <t>Rechazar RUT vacio o nulo</t>
  </si>
  <si>
    <t>rut = "" o null</t>
  </si>
  <si>
    <t>UT-001-28</t>
  </si>
  <si>
    <t>Rechazar RUT demasiado corto (menos de 7 digitos)</t>
  </si>
  <si>
    <t>"1.234-5"</t>
  </si>
  <si>
    <t>UT-001-29</t>
  </si>
  <si>
    <t>Rechazar RUT con letras en parte numerica</t>
  </si>
  <si>
    <t>"AB.CDE.FGH-1"</t>
  </si>
  <si>
    <t>UT-001-30</t>
  </si>
  <si>
    <t>Aceptar RUT con digito verificador k minuscula</t>
  </si>
  <si>
    <t>"5.126.663-k"</t>
  </si>
  <si>
    <t>UT-001-31</t>
  </si>
  <si>
    <t>Boton Ingresar deshabilitado cuando formulario invalido</t>
  </si>
  <si>
    <t>form invalido (RUT vacio)</t>
  </si>
  <si>
    <t>submitButton.disabled = true</t>
  </si>
  <si>
    <t>UT-001-32</t>
  </si>
  <si>
    <t>Mensaje de error visible cuando RUT invalido y campo tocado</t>
  </si>
  <si>
    <t>RUT invalido + campo touched</t>
  </si>
  <si>
    <t>Mensaje de error visible en DOM</t>
  </si>
  <si>
    <t>UT-001-33</t>
  </si>
  <si>
    <t>Formulario se resetea correctamente tras logout</t>
  </si>
  <si>
    <t>Llamada a form.reset()</t>
  </si>
  <si>
    <t>form.pristine = true | values = null</t>
  </si>
  <si>
    <t>UT-001-34</t>
  </si>
  <si>
    <t>Password con solo espacios es invalido</t>
  </si>
  <si>
    <t>password = "   "</t>
  </si>
  <si>
    <t>UT-001-35</t>
  </si>
  <si>
    <t>UT-001-36</t>
  </si>
  <si>
    <t>Rechazar protocolo FTP</t>
  </si>
  <si>
    <t>"ftp:"</t>
  </si>
  <si>
    <t>UT-001-37</t>
  </si>
  <si>
    <t>Rechazar input vacio o nulo</t>
  </si>
  <si>
    <t>protocol = "" o null</t>
  </si>
  <si>
    <t>UT-001-38</t>
  </si>
  <si>
    <t>UT-001-39</t>
  </si>
  <si>
    <t>Elemento body existe en el DOM tras bootstrap</t>
  </si>
  <si>
    <t>DOM inicial de Angular</t>
  </si>
  <si>
    <t>&lt;body&gt; existe y no es null</t>
  </si>
  <si>
    <t>UT-001-40</t>
  </si>
  <si>
    <t>Router resuelve ruta /inicio sin error</t>
  </si>
  <si>
    <t>RouterTestingModule + path /inicio</t>
  </si>
  <si>
    <t>Componente cargado sin error de navegacion</t>
  </si>
  <si>
    <t>UT-001-41</t>
  </si>
  <si>
    <t>LoginService</t>
  </si>
  <si>
    <t>Llamada API exitosa retorna token de sesion</t>
  </si>
  <si>
    <t>Mock HTTP 200 + credenciales validas</t>
  </si>
  <si>
    <t>Token !== null en response</t>
  </si>
  <si>
    <t>UT-001-42</t>
  </si>
  <si>
    <t>Llamada API fallida retorna error controlado sin crash</t>
  </si>
  <si>
    <t>Mock HTTP 401</t>
  </si>
  <si>
    <t>Observable error controlado | sin excepcion no manejada</t>
  </si>
  <si>
    <t>UT-001-43</t>
  </si>
  <si>
    <t>Request incluye token reCAPTCHA en el header</t>
  </si>
  <si>
    <t>Token reCAPTCHA mock disponible</t>
  </si>
  <si>
    <t>Header X-Recaptcha-Token presente en la request</t>
  </si>
  <si>
    <t>UT-001-44</t>
  </si>
  <si>
    <t>HttpInterceptor</t>
  </si>
  <si>
    <t>Agrega header Authorization en requests a rutas protegidas</t>
  </si>
  <si>
    <t>Token de sesion activo en storage</t>
  </si>
  <si>
    <t>Request contiene Authorization: Bearer &lt;token&gt;</t>
  </si>
  <si>
    <t>UT-001-45</t>
  </si>
  <si>
    <t>Intercepta respuesta 401 y redirige al login</t>
  </si>
  <si>
    <t>Mock HTTP 401 en request protegida</t>
  </si>
  <si>
    <t>Router.navigate llamado con ["/login"]</t>
  </si>
  <si>
    <t>UT-001-46</t>
  </si>
  <si>
    <t>SessionStorageService</t>
  </si>
  <si>
    <t>Guarda token correctamente en sessionStorage</t>
  </si>
  <si>
    <t>token = "abc123"</t>
  </si>
  <si>
    <t>sessionStorage.getItem("token") === "abc123"</t>
  </si>
  <si>
    <t>UT-001-47</t>
  </si>
  <si>
    <t>Recupera token existente desde sessionStorage</t>
  </si>
  <si>
    <t>Token previamente guardado</t>
  </si>
  <si>
    <t>getToken() retorna el token almacenado</t>
  </si>
  <si>
    <t>UT-001-48</t>
  </si>
  <si>
    <t>Elimina token al cerrar sesion</t>
  </si>
  <si>
    <t>Llamada a clearToken()</t>
  </si>
  <si>
    <t>sessionStorage.getItem("token") === null</t>
  </si>
  <si>
    <t>Total Horas Estimadas de Ejecución →</t>
  </si>
  <si>
    <t>Total Casos de Prueba →</t>
  </si>
  <si>
    <t>LEYENDA – ESTADO DE CASOS</t>
  </si>
  <si>
    <t>En pruebas</t>
  </si>
  <si>
    <t>Exitoso</t>
  </si>
  <si>
    <t>Fallido</t>
  </si>
  <si>
    <t>Bloqueado</t>
  </si>
  <si>
    <t>Por Ejecutar</t>
  </si>
  <si>
    <t>Ok Técnico</t>
  </si>
  <si>
    <t>COLOMBIA</t>
  </si>
  <si>
    <t>Fecha</t>
  </si>
  <si>
    <t>Avance Esperado</t>
  </si>
  <si>
    <t>Avance Real</t>
  </si>
  <si>
    <t>Tipo</t>
  </si>
  <si>
    <t>Nuevo</t>
  </si>
  <si>
    <t>En Desarrollo</t>
  </si>
  <si>
    <t>En Pruebas</t>
  </si>
  <si>
    <t>Devuelto Desarrollo</t>
  </si>
  <si>
    <t>Cerrado</t>
  </si>
  <si>
    <t>En instalación</t>
  </si>
  <si>
    <t>En Análisis</t>
  </si>
  <si>
    <t>Total general</t>
  </si>
  <si>
    <t>Error</t>
  </si>
  <si>
    <t>Mejora</t>
  </si>
  <si>
    <t>Nuevo Requerimieto</t>
  </si>
  <si>
    <t>Configuración</t>
  </si>
  <si>
    <t>Días no hábiles</t>
  </si>
  <si>
    <t xml:space="preserve"> </t>
  </si>
  <si>
    <t>Festivos</t>
  </si>
  <si>
    <t>Nuevo Requerimiento</t>
  </si>
  <si>
    <t>Total</t>
  </si>
  <si>
    <t>Estado Casos</t>
  </si>
  <si>
    <t>Estado Set</t>
  </si>
  <si>
    <t>Estado Issue</t>
  </si>
  <si>
    <t>Tipo Issue</t>
  </si>
  <si>
    <t>Complejidad Casos Prueba</t>
  </si>
  <si>
    <t>Complejidad de la Prueba</t>
  </si>
  <si>
    <t>Esfuerzo por Complejidad</t>
  </si>
  <si>
    <t>Planeación y Diseño (Complejidad de la Prueba) HRS</t>
  </si>
  <si>
    <t>Ejecución (Complejidad del caso) MIN</t>
  </si>
  <si>
    <t>Deal en Pruebas</t>
  </si>
  <si>
    <t>Deal Ok</t>
  </si>
  <si>
    <t xml:space="preserve">Media </t>
  </si>
  <si>
    <t>Deal con Incidente</t>
  </si>
  <si>
    <t>Media - Alta</t>
  </si>
  <si>
    <t>Deal por Probar</t>
  </si>
  <si>
    <t>Media - Baja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</si>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</sst>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d\-mmm"/>
    <numFmt numFmtId="166" formatCode="0.0%"/>
    <numFmt numFmtId="167" formatCode="m/d/yyyy"/>
  </numFmts>
  <fonts count="30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22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0"/>
      <color theme="0" tint="-0.34998626667073579"/>
      <name val="Century Gothic"/>
      <family val="1"/>
      <charset val="1"/>
    </font>
    <font>
      <b/>
      <sz val="16"/>
      <color theme="0" tint="-0.34998626667073579"/>
      <name val="Century Gothic"/>
      <family val="1"/>
      <charset val="1"/>
    </font>
    <font>
      <b/>
      <sz val="13"/>
      <color rgb="FF003087"/>
      <name val="Arial"/>
      <family val="2"/>
      <charset val="1"/>
    </font>
    <font>
      <i/>
      <sz val="9"/>
      <color rgb="FFFFFFFF"/>
      <name val="Arial"/>
      <family val="2"/>
      <charset val="1"/>
    </font>
    <font>
      <sz val="1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theme="1"/>
      <name val="Century Gothic"/>
      <family val="1"/>
      <charset val="1"/>
    </font>
    <font>
      <sz val="9"/>
      <color rgb="FF1A1A2E"/>
      <name val="Arial"/>
      <family val="2"/>
      <charset val="1"/>
    </font>
    <font>
      <b/>
      <sz val="8"/>
      <color rgb="FF1A6FA8"/>
      <name val="Arial"/>
      <family val="2"/>
      <charset val="1"/>
    </font>
    <font>
      <b/>
      <sz val="8"/>
      <color rgb="FF1D6A39"/>
      <name val="Arial"/>
      <family val="2"/>
      <charset val="1"/>
    </font>
    <font>
      <b/>
      <sz val="8"/>
      <color rgb="FF922B21"/>
      <name val="Arial"/>
      <family val="2"/>
      <charset val="1"/>
    </font>
    <font>
      <b/>
      <sz val="8"/>
      <color rgb="FF1A5276"/>
      <name val="Arial"/>
      <family val="2"/>
      <charset val="1"/>
    </font>
    <font>
      <b/>
      <sz val="9"/>
      <color rgb="FF003087"/>
      <name val="Arial"/>
      <family val="2"/>
      <charset val="1"/>
    </font>
    <font>
      <b/>
      <sz val="8"/>
      <color rgb="FF9C640C"/>
      <name val="Arial"/>
      <family val="2"/>
      <charset val="1"/>
    </font>
    <font>
      <b/>
      <sz val="8"/>
      <color rgb="FF5D6D7E"/>
      <name val="Arial"/>
      <family val="2"/>
      <charset val="1"/>
    </font>
    <font>
      <sz val="8"/>
      <color theme="1"/>
      <name val="Calibri"/>
      <family val="2"/>
      <charset val="1"/>
    </font>
    <font>
      <sz val="9"/>
      <color theme="0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13"/>
      <color theme="3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8"/>
      <color theme="1" tint="0.49964903714102604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8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sz val="14"/>
      <color theme="0"/>
      <name val="Century Gothic"/>
      <family val="2"/>
      <charset val="1"/>
    </font>
    <font>
      <sz val="9"/>
      <color rgb="FF1A1A2E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79857783745845"/>
        <bgColor rgb="FFD6EAF8"/>
      </patternFill>
    </fill>
    <fill>
      <patternFill patternType="solid">
        <fgColor rgb="FF003087"/>
        <bgColor rgb="FF1A2A5E"/>
      </patternFill>
    </fill>
    <fill>
      <patternFill patternType="solid">
        <fgColor rgb="FFFFFFFF"/>
        <bgColor rgb="FFF5F9FF"/>
      </patternFill>
    </fill>
    <fill>
      <patternFill patternType="solid">
        <fgColor rgb="FFD6E8F8"/>
        <bgColor rgb="FFD6EAF8"/>
      </patternFill>
    </fill>
    <fill>
      <patternFill patternType="solid">
        <fgColor rgb="FFF2F6FB"/>
        <bgColor rgb="FFF5F8FF"/>
      </patternFill>
    </fill>
    <fill>
      <patternFill patternType="solid">
        <fgColor rgb="FFD6EAF8"/>
        <bgColor rgb="FFD6E8F8"/>
      </patternFill>
    </fill>
    <fill>
      <patternFill patternType="solid">
        <fgColor rgb="FFD5F5E3"/>
        <bgColor rgb="FFD1FAE5"/>
      </patternFill>
    </fill>
    <fill>
      <patternFill patternType="solid">
        <fgColor rgb="FFFADBD8"/>
        <bgColor rgb="FFFDEBD0"/>
      </patternFill>
    </fill>
    <fill>
      <patternFill patternType="solid">
        <fgColor rgb="FFFEF9E7"/>
        <bgColor rgb="FFF5F5F5"/>
      </patternFill>
    </fill>
    <fill>
      <patternFill patternType="solid">
        <fgColor rgb="FFEAF2FF"/>
        <bgColor rgb="FFF2F6FB"/>
      </patternFill>
    </fill>
    <fill>
      <patternFill patternType="solid">
        <fgColor rgb="FFFF0000"/>
        <bgColor rgb="FFC0392B"/>
      </patternFill>
    </fill>
    <fill>
      <patternFill patternType="solid">
        <fgColor theme="0" tint="-0.249977111117893"/>
        <bgColor rgb="FFBBBBBB"/>
      </patternFill>
    </fill>
    <fill>
      <patternFill patternType="solid">
        <fgColor theme="7"/>
        <bgColor rgb="FFE67E22"/>
      </patternFill>
    </fill>
    <fill>
      <patternFill patternType="solid">
        <fgColor theme="0" tint="-0.34998626667073579"/>
        <bgColor rgb="FFAAAAAA"/>
      </patternFill>
    </fill>
    <fill>
      <patternFill patternType="solid">
        <fgColor rgb="FFD6E8F8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 tint="0.4996490371410260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4EA"/>
      </left>
      <right style="thin">
        <color rgb="FFBDD4EA"/>
      </right>
      <top style="thin">
        <color rgb="FFBDD4EA"/>
      </top>
      <bottom style="thin">
        <color rgb="FFBDD4EA"/>
      </bottom>
      <diagonal/>
    </border>
    <border>
      <left style="thin">
        <color rgb="FFBDD4EA"/>
      </left>
      <right/>
      <top style="thin">
        <color rgb="FFBDD4EA"/>
      </top>
      <bottom style="thin">
        <color rgb="FFBDD4EA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BDD4EA"/>
      </top>
      <bottom style="thin">
        <color rgb="FFBDD4EA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DD4EA"/>
      </left>
      <right style="thin">
        <color rgb="FFBDD4EA"/>
      </right>
      <top style="thin">
        <color rgb="FFBDD4EA"/>
      </top>
      <bottom style="thin">
        <color rgb="FFBDD4EA"/>
      </bottom>
      <diagonal/>
    </border>
  </borders>
  <cellStyleXfs count="5">
    <xf numFmtId="0" fontId="0" fillId="0" borderId="0"/>
    <xf numFmtId="9" fontId="27" fillId="0" borderId="0"/>
    <xf numFmtId="0" fontId="1" fillId="0" borderId="0">
      <alignment vertical="center"/>
    </xf>
    <xf numFmtId="9" fontId="27" fillId="0" borderId="0"/>
    <xf numFmtId="0" fontId="22" fillId="0" borderId="1"/>
  </cellStyleXfs>
  <cellXfs count="9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8" fillId="3" borderId="0" xfId="0" applyFont="1" applyFill="1"/>
    <xf numFmtId="0" fontId="9" fillId="3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left" vertical="center" wrapText="1"/>
    </xf>
    <xf numFmtId="164" fontId="11" fillId="4" borderId="3" xfId="0" applyNumberFormat="1" applyFont="1" applyFill="1" applyBorder="1" applyAlignment="1">
      <alignment horizontal="center"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64" fontId="11" fillId="6" borderId="3" xfId="0" applyNumberFormat="1" applyFont="1" applyFill="1" applyBorder="1" applyAlignment="1">
      <alignment horizontal="left" vertical="center" wrapText="1"/>
    </xf>
    <xf numFmtId="164" fontId="11" fillId="6" borderId="3" xfId="0" applyNumberFormat="1" applyFont="1" applyFill="1" applyBorder="1" applyAlignment="1">
      <alignment horizontal="center" vertical="center" wrapText="1"/>
    </xf>
    <xf numFmtId="164" fontId="11" fillId="6" borderId="3" xfId="0" applyNumberFormat="1" applyFont="1" applyFill="1" applyBorder="1" applyAlignment="1">
      <alignment horizontal="center" vertical="center"/>
    </xf>
    <xf numFmtId="0" fontId="8" fillId="4" borderId="0" xfId="0" applyFont="1" applyFill="1"/>
    <xf numFmtId="0" fontId="8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9" fillId="0" borderId="0" xfId="0" applyFont="1"/>
    <xf numFmtId="0" fontId="20" fillId="12" borderId="0" xfId="2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22" fillId="0" borderId="0" xfId="4" applyBorder="1"/>
    <xf numFmtId="165" fontId="19" fillId="0" borderId="0" xfId="0" applyNumberFormat="1" applyFont="1"/>
    <xf numFmtId="166" fontId="19" fillId="0" borderId="0" xfId="3" applyNumberFormat="1" applyFont="1"/>
    <xf numFmtId="0" fontId="19" fillId="0" borderId="2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1" fillId="13" borderId="6" xfId="0" applyFont="1" applyFill="1" applyBorder="1" applyAlignment="1">
      <alignment horizontal="left" vertical="center"/>
    </xf>
    <xf numFmtId="0" fontId="21" fillId="13" borderId="7" xfId="0" applyFont="1" applyFill="1" applyBorder="1" applyAlignment="1">
      <alignment horizontal="center" vertical="center" wrapText="1"/>
    </xf>
    <xf numFmtId="0" fontId="21" fillId="13" borderId="8" xfId="0" applyFont="1" applyFill="1" applyBorder="1" applyAlignment="1">
      <alignment horizontal="center" vertical="center" wrapText="1"/>
    </xf>
    <xf numFmtId="0" fontId="21" fillId="13" borderId="9" xfId="0" applyFont="1" applyFill="1" applyBorder="1" applyAlignment="1">
      <alignment vertical="center" wrapText="1"/>
    </xf>
    <xf numFmtId="167" fontId="1" fillId="0" borderId="0" xfId="2" applyNumberFormat="1" applyAlignment="1"/>
    <xf numFmtId="0" fontId="21" fillId="13" borderId="6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65" fontId="1" fillId="0" borderId="0" xfId="2" applyNumberFormat="1" applyAlignment="1"/>
    <xf numFmtId="0" fontId="21" fillId="0" borderId="2" xfId="0" applyFont="1" applyBorder="1" applyAlignment="1">
      <alignment horizontal="right" vertical="center"/>
    </xf>
    <xf numFmtId="0" fontId="24" fillId="0" borderId="0" xfId="0" applyFont="1" applyAlignment="1">
      <alignment horizontal="center"/>
    </xf>
    <xf numFmtId="167" fontId="0" fillId="0" borderId="0" xfId="0" applyNumberFormat="1"/>
    <xf numFmtId="9" fontId="27" fillId="0" borderId="0" xfId="1"/>
    <xf numFmtId="0" fontId="21" fillId="0" borderId="6" xfId="0" applyFont="1" applyBorder="1" applyAlignment="1">
      <alignment horizontal="left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6" fontId="27" fillId="0" borderId="0" xfId="3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5" fillId="12" borderId="2" xfId="0" applyFont="1" applyFill="1" applyBorder="1" applyAlignment="1">
      <alignment horizontal="center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26" fillId="1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15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3" borderId="0" xfId="0" applyFont="1" applyFill="1" applyAlignment="1">
      <alignment horizontal="left" vertical="center"/>
    </xf>
    <xf numFmtId="0" fontId="16" fillId="5" borderId="4" xfId="0" applyFont="1" applyFill="1" applyBorder="1" applyAlignment="1">
      <alignment horizontal="right" vertical="center"/>
    </xf>
    <xf numFmtId="0" fontId="29" fillId="16" borderId="19" xfId="0" applyFont="1" applyFill="1" applyBorder="1" applyAlignment="1">
      <alignment horizontal="center" vertical="center" wrapText="1"/>
    </xf>
    <xf numFmtId="0" fontId="29" fillId="17" borderId="19" xfId="0" applyFont="1" applyFill="1" applyBorder="1" applyAlignment="1">
      <alignment horizontal="center" vertical="center" wrapText="1"/>
    </xf>
    <xf numFmtId="0" fontId="29" fillId="17" borderId="19" xfId="0" applyFont="1" applyFill="1" applyBorder="1" applyAlignment="1">
      <alignment horizontal="left" vertical="center" wrapText="1"/>
    </xf>
    <xf numFmtId="0" fontId="29" fillId="18" borderId="19" xfId="0" applyFont="1" applyFill="1" applyBorder="1" applyAlignment="1">
      <alignment horizontal="center" vertical="center" wrapText="1"/>
    </xf>
    <xf numFmtId="0" fontId="29" fillId="18" borderId="19" xfId="0" applyFont="1" applyFill="1" applyBorder="1" applyAlignment="1">
      <alignment horizontal="left" vertical="center" wrapText="1"/>
    </xf>
    <xf numFmtId="0" fontId="0" fillId="0" borderId="13" xfId="0" applyBorder="1"/>
    <xf numFmtId="0" fontId="29" fillId="17" borderId="19" xfId="0" applyFont="1" applyFill="1" applyBorder="1"/>
    <xf numFmtId="0" fontId="28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13" borderId="5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0" xfId="0" applyBorder="1" applyAlignment="1">
      <alignment horizontal="center"/>
    </xf>
    <xf numFmtId="0" fontId="0" fillId="0" borderId="17" xfId="0" applyBorder="1"/>
  </cellXfs>
  <cellStyles count="5">
    <cellStyle name="Excel Built-in Heading 2" xfId="4" xr:uid="{00000000-0005-0000-0000-000004000000}"/>
    <cellStyle name="Normal" xfId="0" builtinId="0"/>
    <cellStyle name="Normal 2" xfId="2" xr:uid="{00000000-0005-0000-0000-000002000000}"/>
    <cellStyle name="Percent 2" xfId="3" xr:uid="{00000000-0005-0000-0000-000003000000}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EF9E7"/>
      <rgbColor rgb="FFF5EEF8"/>
      <rgbColor rgb="FFEAF2FF"/>
      <rgbColor rgb="FF800000"/>
      <rgbColor rgb="FF1D6A39"/>
      <rgbColor rgb="FF000080"/>
      <rgbColor rgb="FF9C640C"/>
      <rgbColor rgb="FFF5F9FF"/>
      <rgbColor rgb="FF1A6FA8"/>
      <rgbColor rgb="FFBFBFBF"/>
      <rgbColor rgb="FF7F7F7F"/>
      <rgbColor rgb="FFA6A6A6"/>
      <rgbColor rgb="FF6C3483"/>
      <rgbColor rgb="FFFEF3C7"/>
      <rgbColor rgb="FFD5F5E3"/>
      <rgbColor rgb="FF660066"/>
      <rgbColor rgb="FFAAAAAA"/>
      <rgbColor rgb="FF0066CC"/>
      <rgbColor rgb="FFBDD4EA"/>
      <rgbColor rgb="FF000080"/>
      <rgbColor rgb="FFF5F8FF"/>
      <rgbColor rgb="FFDDDDDD"/>
      <rgbColor rgb="FFF2F6FB"/>
      <rgbColor rgb="FF800080"/>
      <rgbColor rgb="FF800000"/>
      <rgbColor rgb="FF44546A"/>
      <rgbColor rgb="FF0000FF"/>
      <rgbColor rgb="FFF2F3F4"/>
      <rgbColor rgb="FFD6EAF8"/>
      <rgbColor rgb="FFD1FAE5"/>
      <rgbColor rgb="FFFDEBD0"/>
      <rgbColor rgb="FFADCDEA"/>
      <rgbColor rgb="FFCCCCCC"/>
      <rgbColor rgb="FFBBBBBB"/>
      <rgbColor rgb="FFFADBD8"/>
      <rgbColor rgb="FF2E6DA4"/>
      <rgbColor rgb="FFD6E8F8"/>
      <rgbColor rgb="FFA9D18E"/>
      <rgbColor rgb="FFFFC000"/>
      <rgbColor rgb="FFDEEBF7"/>
      <rgbColor rgb="FFE67E22"/>
      <rgbColor rgb="FF5D6D7E"/>
      <rgbColor rgb="FF888888"/>
      <rgbColor rgb="FF003087"/>
      <rgbColor rgb="FF626567"/>
      <rgbColor rgb="FF003300"/>
      <rgbColor rgb="FF1A1A2E"/>
      <rgbColor rgb="FF922B21"/>
      <rgbColor rgb="FFC0392B"/>
      <rgbColor rgb="FF1A5276"/>
      <rgbColor rgb="FF1A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172949</xdr:colOff>
      <xdr:row>1</xdr:row>
      <xdr:rowOff>27533</xdr:rowOff>
    </xdr:from>
    <xdr:to>
      <xdr:col>2</xdr:col>
      <xdr:colOff>438412</xdr:colOff>
      <xdr:row>2</xdr:row>
      <xdr:rowOff>269025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949" y="382257"/>
          <a:ext cx="1101430" cy="5962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087"/>
  </sheetPr>
  <dimension ref="A1:N794"/>
  <sheetViews>
    <sheetView tabSelected="1" zoomScale="130" zoomScaleNormal="130" workbookViewId="0">
      <pane xSplit="1" ySplit="5" topLeftCell="B46" activePane="bottomRight" state="frozen"/>
      <selection pane="topRight" activeCell="B1" sqref="B1"/>
      <selection pane="bottomLeft" activeCell="A6" sqref="A6"/>
      <selection pane="bottomRight" activeCell="D49" sqref="D49"/>
    </sheetView>
  </sheetViews>
  <sheetFormatPr baseColWidth="10" defaultColWidth="66.5546875" defaultRowHeight="14.4" x14ac:dyDescent="0.3"/>
  <cols>
    <col min="1" max="1" width="3" style="1" customWidth="1"/>
    <col min="2" max="2" width="9.33203125" style="3" bestFit="1" customWidth="1"/>
    <col min="3" max="3" width="24.33203125" style="3" customWidth="1"/>
    <col min="4" max="4" width="26.44140625" style="3" customWidth="1"/>
    <col min="5" max="5" width="19" style="3" customWidth="1"/>
    <col min="6" max="6" width="40.33203125" style="3" customWidth="1"/>
    <col min="7" max="7" width="16.6640625" style="3" bestFit="1" customWidth="1"/>
    <col min="8" max="8" width="13" style="3" customWidth="1"/>
    <col min="9" max="9" width="16" style="3" customWidth="1"/>
    <col min="10" max="10" width="22" style="3" customWidth="1"/>
    <col min="11" max="12" width="66.5546875" style="3" customWidth="1"/>
    <col min="13" max="14" width="66.5546875" style="4" customWidth="1"/>
    <col min="15" max="15" width="66.5546875" style="1" customWidth="1"/>
    <col min="16" max="16384" width="66.5546875" style="1"/>
  </cols>
  <sheetData>
    <row r="1" spans="1:14" s="2" customFormat="1" ht="27.6" x14ac:dyDescent="0.3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5"/>
      <c r="L1" s="5"/>
      <c r="M1" s="6"/>
      <c r="N1" s="6"/>
    </row>
    <row r="2" spans="1:14" s="2" customFormat="1" ht="27.6" x14ac:dyDescent="0.3">
      <c r="A2" s="7"/>
      <c r="B2" s="69"/>
      <c r="C2" s="7"/>
      <c r="D2" s="7"/>
      <c r="E2" s="7"/>
      <c r="F2" s="7"/>
      <c r="G2" s="84" t="s">
        <v>1</v>
      </c>
      <c r="H2" s="82"/>
      <c r="I2" s="82"/>
      <c r="J2" s="82"/>
      <c r="K2" s="5"/>
      <c r="L2" s="5"/>
      <c r="M2" s="6"/>
      <c r="N2" s="6"/>
    </row>
    <row r="3" spans="1:14" s="2" customFormat="1" ht="27.6" x14ac:dyDescent="0.3">
      <c r="A3" s="7"/>
      <c r="B3" s="69"/>
      <c r="C3" s="7"/>
      <c r="D3" s="7"/>
      <c r="E3" s="7"/>
      <c r="F3" s="7"/>
      <c r="G3" s="82"/>
      <c r="H3" s="82"/>
      <c r="I3" s="82"/>
      <c r="J3" s="82"/>
      <c r="K3" s="5"/>
      <c r="L3" s="5"/>
      <c r="M3" s="6"/>
      <c r="N3" s="6"/>
    </row>
    <row r="4" spans="1:14" s="2" customFormat="1" ht="27.6" x14ac:dyDescent="0.3">
      <c r="A4" s="83" t="s">
        <v>2</v>
      </c>
      <c r="B4" s="82"/>
      <c r="C4" s="82"/>
      <c r="D4" s="82"/>
      <c r="E4" s="82"/>
      <c r="F4" s="82"/>
      <c r="G4" s="82"/>
      <c r="H4" s="82"/>
      <c r="I4" s="82"/>
      <c r="J4" s="82"/>
      <c r="K4" s="5"/>
      <c r="L4" s="5"/>
      <c r="M4" s="6"/>
      <c r="N4" s="6"/>
    </row>
    <row r="5" spans="1:14" ht="24" x14ac:dyDescent="0.3">
      <c r="A5" s="8"/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10"/>
      <c r="L5" s="10"/>
      <c r="M5" s="1"/>
      <c r="N5" s="1"/>
    </row>
    <row r="6" spans="1:14" ht="34.200000000000003" x14ac:dyDescent="0.3">
      <c r="A6" s="11"/>
      <c r="B6" s="14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4" t="s">
        <v>17</v>
      </c>
      <c r="H6" s="14" t="s">
        <v>18</v>
      </c>
      <c r="I6" s="14" t="s">
        <v>19</v>
      </c>
      <c r="J6" s="13"/>
      <c r="K6" s="10"/>
      <c r="L6" s="10"/>
      <c r="M6" s="1"/>
      <c r="N6" s="1"/>
    </row>
    <row r="7" spans="1:14" x14ac:dyDescent="0.3">
      <c r="A7" s="11"/>
      <c r="B7" s="18" t="s">
        <v>20</v>
      </c>
      <c r="C7" s="17" t="s">
        <v>13</v>
      </c>
      <c r="D7" s="17" t="s">
        <v>21</v>
      </c>
      <c r="E7" s="17" t="s">
        <v>22</v>
      </c>
      <c r="F7" s="17" t="s">
        <v>23</v>
      </c>
      <c r="G7" s="18" t="s">
        <v>17</v>
      </c>
      <c r="H7" s="18" t="s">
        <v>18</v>
      </c>
      <c r="I7" s="18" t="s">
        <v>19</v>
      </c>
      <c r="J7" s="17"/>
      <c r="K7" s="10"/>
      <c r="L7" s="10"/>
      <c r="M7" s="1"/>
      <c r="N7" s="1"/>
    </row>
    <row r="8" spans="1:14" ht="22.8" x14ac:dyDescent="0.3">
      <c r="A8" s="11"/>
      <c r="B8" s="14" t="s">
        <v>24</v>
      </c>
      <c r="C8" s="13" t="s">
        <v>13</v>
      </c>
      <c r="D8" s="13" t="s">
        <v>25</v>
      </c>
      <c r="E8" s="13" t="s">
        <v>26</v>
      </c>
      <c r="F8" s="13" t="s">
        <v>27</v>
      </c>
      <c r="G8" s="14" t="s">
        <v>17</v>
      </c>
      <c r="H8" s="14" t="s">
        <v>28</v>
      </c>
      <c r="I8" s="14" t="s">
        <v>19</v>
      </c>
      <c r="J8" s="13"/>
      <c r="K8" s="10"/>
      <c r="L8" s="10"/>
      <c r="M8" s="1"/>
      <c r="N8" s="1"/>
    </row>
    <row r="9" spans="1:14" ht="22.8" x14ac:dyDescent="0.3">
      <c r="A9" s="11"/>
      <c r="B9" s="18" t="s">
        <v>29</v>
      </c>
      <c r="C9" s="17" t="s">
        <v>13</v>
      </c>
      <c r="D9" s="17" t="s">
        <v>30</v>
      </c>
      <c r="E9" s="17" t="s">
        <v>31</v>
      </c>
      <c r="F9" s="17" t="s">
        <v>32</v>
      </c>
      <c r="G9" s="18" t="s">
        <v>17</v>
      </c>
      <c r="H9" s="18" t="s">
        <v>28</v>
      </c>
      <c r="I9" s="18" t="s">
        <v>19</v>
      </c>
      <c r="J9" s="17"/>
      <c r="K9" s="10"/>
      <c r="L9" s="10"/>
      <c r="M9" s="1"/>
      <c r="N9" s="1"/>
    </row>
    <row r="10" spans="1:14" x14ac:dyDescent="0.3">
      <c r="A10" s="11"/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4" t="s">
        <v>17</v>
      </c>
      <c r="H10" s="14" t="s">
        <v>18</v>
      </c>
      <c r="I10" s="14" t="s">
        <v>19</v>
      </c>
      <c r="J10" s="13"/>
      <c r="K10" s="10"/>
      <c r="L10" s="10"/>
      <c r="M10" s="1"/>
      <c r="N10" s="1"/>
    </row>
    <row r="11" spans="1:14" x14ac:dyDescent="0.3">
      <c r="A11" s="11"/>
      <c r="B11" s="18" t="s">
        <v>38</v>
      </c>
      <c r="C11" s="17" t="s">
        <v>34</v>
      </c>
      <c r="D11" s="17" t="s">
        <v>39</v>
      </c>
      <c r="E11" s="17" t="s">
        <v>40</v>
      </c>
      <c r="F11" s="17" t="s">
        <v>41</v>
      </c>
      <c r="G11" s="18" t="s">
        <v>17</v>
      </c>
      <c r="H11" s="18" t="s">
        <v>18</v>
      </c>
      <c r="I11" s="18" t="s">
        <v>19</v>
      </c>
      <c r="J11" s="17"/>
      <c r="K11" s="10"/>
      <c r="L11" s="10"/>
      <c r="M11" s="1"/>
      <c r="N11" s="1"/>
    </row>
    <row r="12" spans="1:14" ht="22.8" x14ac:dyDescent="0.3">
      <c r="A12" s="11"/>
      <c r="B12" s="14" t="s">
        <v>42</v>
      </c>
      <c r="C12" s="13" t="s">
        <v>34</v>
      </c>
      <c r="D12" s="13" t="s">
        <v>43</v>
      </c>
      <c r="E12" s="13" t="s">
        <v>44</v>
      </c>
      <c r="F12" s="13" t="s">
        <v>41</v>
      </c>
      <c r="G12" s="14" t="s">
        <v>17</v>
      </c>
      <c r="H12" s="14" t="s">
        <v>18</v>
      </c>
      <c r="I12" s="14" t="s">
        <v>19</v>
      </c>
      <c r="J12" s="13"/>
      <c r="K12" s="10"/>
      <c r="L12" s="10"/>
      <c r="M12" s="1"/>
      <c r="N12" s="1"/>
    </row>
    <row r="13" spans="1:14" ht="22.8" x14ac:dyDescent="0.3">
      <c r="A13" s="11"/>
      <c r="B13" s="18" t="s">
        <v>45</v>
      </c>
      <c r="C13" s="17" t="s">
        <v>34</v>
      </c>
      <c r="D13" s="17" t="s">
        <v>46</v>
      </c>
      <c r="E13" s="17" t="s">
        <v>47</v>
      </c>
      <c r="F13" s="17" t="s">
        <v>37</v>
      </c>
      <c r="G13" s="18" t="s">
        <v>17</v>
      </c>
      <c r="H13" s="18" t="s">
        <v>28</v>
      </c>
      <c r="I13" s="18" t="s">
        <v>19</v>
      </c>
      <c r="J13" s="17"/>
      <c r="K13" s="10"/>
      <c r="L13" s="10"/>
      <c r="M13" s="1"/>
      <c r="N13" s="1"/>
    </row>
    <row r="14" spans="1:14" x14ac:dyDescent="0.3">
      <c r="A14" s="11"/>
      <c r="B14" s="14" t="s">
        <v>48</v>
      </c>
      <c r="C14" s="13" t="s">
        <v>49</v>
      </c>
      <c r="D14" s="13" t="s">
        <v>50</v>
      </c>
      <c r="E14" s="13" t="s">
        <v>51</v>
      </c>
      <c r="F14" s="13" t="s">
        <v>52</v>
      </c>
      <c r="G14" s="14" t="s">
        <v>17</v>
      </c>
      <c r="H14" s="14" t="s">
        <v>18</v>
      </c>
      <c r="I14" s="14" t="s">
        <v>19</v>
      </c>
      <c r="J14" s="13"/>
      <c r="K14" s="10"/>
      <c r="L14" s="10"/>
      <c r="M14" s="1"/>
      <c r="N14" s="1"/>
    </row>
    <row r="15" spans="1:14" ht="22.8" x14ac:dyDescent="0.3">
      <c r="A15" s="11"/>
      <c r="B15" s="18" t="s">
        <v>53</v>
      </c>
      <c r="C15" s="17" t="s">
        <v>49</v>
      </c>
      <c r="D15" s="17" t="s">
        <v>54</v>
      </c>
      <c r="E15" s="17" t="s">
        <v>55</v>
      </c>
      <c r="F15" s="17" t="s">
        <v>52</v>
      </c>
      <c r="G15" s="18" t="s">
        <v>17</v>
      </c>
      <c r="H15" s="18" t="s">
        <v>18</v>
      </c>
      <c r="I15" s="18" t="s">
        <v>19</v>
      </c>
      <c r="J15" s="17"/>
      <c r="K15" s="10"/>
      <c r="L15" s="10"/>
      <c r="M15" s="1"/>
      <c r="N15" s="1"/>
    </row>
    <row r="16" spans="1:14" ht="22.8" x14ac:dyDescent="0.3">
      <c r="A16" s="11"/>
      <c r="B16" s="14" t="s">
        <v>56</v>
      </c>
      <c r="C16" s="13" t="s">
        <v>49</v>
      </c>
      <c r="D16" s="13" t="s">
        <v>57</v>
      </c>
      <c r="E16" s="13" t="s">
        <v>58</v>
      </c>
      <c r="F16" s="13" t="s">
        <v>59</v>
      </c>
      <c r="G16" s="14" t="s">
        <v>17</v>
      </c>
      <c r="H16" s="14" t="s">
        <v>18</v>
      </c>
      <c r="I16" s="14" t="s">
        <v>19</v>
      </c>
      <c r="J16" s="13"/>
      <c r="K16" s="10"/>
      <c r="L16" s="10"/>
      <c r="M16" s="1"/>
      <c r="N16" s="1"/>
    </row>
    <row r="17" spans="1:14" ht="22.8" x14ac:dyDescent="0.3">
      <c r="A17" s="11"/>
      <c r="B17" s="18" t="s">
        <v>60</v>
      </c>
      <c r="C17" s="17" t="s">
        <v>61</v>
      </c>
      <c r="D17" s="17" t="s">
        <v>62</v>
      </c>
      <c r="E17" s="17" t="s">
        <v>63</v>
      </c>
      <c r="F17" s="17" t="s">
        <v>64</v>
      </c>
      <c r="G17" s="18" t="s">
        <v>17</v>
      </c>
      <c r="H17" s="18" t="s">
        <v>18</v>
      </c>
      <c r="I17" s="18" t="s">
        <v>19</v>
      </c>
      <c r="J17" s="17"/>
      <c r="K17" s="10"/>
      <c r="L17" s="10"/>
      <c r="M17" s="1"/>
      <c r="N17" s="1"/>
    </row>
    <row r="18" spans="1:14" x14ac:dyDescent="0.3">
      <c r="A18" s="11"/>
      <c r="B18" s="14" t="s">
        <v>65</v>
      </c>
      <c r="C18" s="13" t="s">
        <v>61</v>
      </c>
      <c r="D18" s="13" t="s">
        <v>66</v>
      </c>
      <c r="E18" s="13" t="s">
        <v>67</v>
      </c>
      <c r="F18" s="13" t="s">
        <v>68</v>
      </c>
      <c r="G18" s="14" t="s">
        <v>17</v>
      </c>
      <c r="H18" s="14" t="s">
        <v>28</v>
      </c>
      <c r="I18" s="14" t="s">
        <v>19</v>
      </c>
      <c r="J18" s="13"/>
      <c r="K18" s="10"/>
      <c r="L18" s="10"/>
      <c r="M18" s="1"/>
      <c r="N18" s="1"/>
    </row>
    <row r="19" spans="1:14" x14ac:dyDescent="0.3">
      <c r="A19" s="11"/>
      <c r="B19" s="18" t="s">
        <v>69</v>
      </c>
      <c r="C19" s="17" t="s">
        <v>70</v>
      </c>
      <c r="D19" s="17" t="s">
        <v>71</v>
      </c>
      <c r="E19" s="17" t="s">
        <v>72</v>
      </c>
      <c r="F19" s="17" t="s">
        <v>37</v>
      </c>
      <c r="G19" s="18" t="s">
        <v>73</v>
      </c>
      <c r="H19" s="18" t="s">
        <v>18</v>
      </c>
      <c r="I19" s="18" t="s">
        <v>19</v>
      </c>
      <c r="J19" s="17"/>
      <c r="K19" s="10"/>
      <c r="L19" s="10"/>
      <c r="M19" s="1"/>
      <c r="N19" s="1"/>
    </row>
    <row r="20" spans="1:14" x14ac:dyDescent="0.3">
      <c r="A20" s="11"/>
      <c r="B20" s="14" t="s">
        <v>74</v>
      </c>
      <c r="C20" s="13" t="s">
        <v>70</v>
      </c>
      <c r="D20" s="13" t="s">
        <v>75</v>
      </c>
      <c r="E20" s="13" t="s">
        <v>76</v>
      </c>
      <c r="F20" s="13" t="s">
        <v>41</v>
      </c>
      <c r="G20" s="14" t="s">
        <v>73</v>
      </c>
      <c r="H20" s="14" t="s">
        <v>18</v>
      </c>
      <c r="I20" s="14" t="s">
        <v>19</v>
      </c>
      <c r="J20" s="13"/>
      <c r="K20" s="10"/>
      <c r="L20" s="10"/>
      <c r="M20" s="1"/>
      <c r="N20" s="1"/>
    </row>
    <row r="21" spans="1:14" x14ac:dyDescent="0.3">
      <c r="A21" s="11"/>
      <c r="B21" s="18" t="s">
        <v>77</v>
      </c>
      <c r="C21" s="17" t="s">
        <v>78</v>
      </c>
      <c r="D21" s="17" t="s">
        <v>79</v>
      </c>
      <c r="E21" s="17" t="s">
        <v>80</v>
      </c>
      <c r="F21" s="17" t="s">
        <v>81</v>
      </c>
      <c r="G21" s="18" t="s">
        <v>82</v>
      </c>
      <c r="H21" s="18" t="s">
        <v>18</v>
      </c>
      <c r="I21" s="18" t="s">
        <v>19</v>
      </c>
      <c r="J21" s="17"/>
      <c r="K21" s="10"/>
      <c r="L21" s="10"/>
      <c r="M21" s="1"/>
      <c r="N21" s="1"/>
    </row>
    <row r="22" spans="1:14" x14ac:dyDescent="0.3">
      <c r="A22" s="11"/>
      <c r="B22" s="14" t="s">
        <v>83</v>
      </c>
      <c r="C22" s="13" t="s">
        <v>78</v>
      </c>
      <c r="D22" s="13" t="s">
        <v>84</v>
      </c>
      <c r="E22" s="13" t="s">
        <v>85</v>
      </c>
      <c r="F22" s="13" t="s">
        <v>86</v>
      </c>
      <c r="G22" s="14" t="s">
        <v>82</v>
      </c>
      <c r="H22" s="14" t="s">
        <v>18</v>
      </c>
      <c r="I22" s="14" t="s">
        <v>19</v>
      </c>
      <c r="J22" s="13"/>
      <c r="K22" s="10"/>
      <c r="L22" s="10"/>
      <c r="M22" s="1"/>
      <c r="N22" s="1"/>
    </row>
    <row r="23" spans="1:14" x14ac:dyDescent="0.3">
      <c r="A23" s="11"/>
      <c r="B23" s="18" t="s">
        <v>87</v>
      </c>
      <c r="C23" s="17" t="s">
        <v>88</v>
      </c>
      <c r="D23" s="17" t="s">
        <v>89</v>
      </c>
      <c r="E23" s="17" t="s">
        <v>90</v>
      </c>
      <c r="F23" s="17" t="s">
        <v>91</v>
      </c>
      <c r="G23" s="18" t="s">
        <v>92</v>
      </c>
      <c r="H23" s="18" t="s">
        <v>93</v>
      </c>
      <c r="I23" s="18" t="s">
        <v>19</v>
      </c>
      <c r="J23" s="17"/>
      <c r="K23" s="10"/>
      <c r="L23" s="10"/>
      <c r="M23" s="1"/>
      <c r="N23" s="1"/>
    </row>
    <row r="24" spans="1:14" x14ac:dyDescent="0.3">
      <c r="A24" s="11"/>
      <c r="B24" s="14" t="s">
        <v>94</v>
      </c>
      <c r="C24" s="13" t="s">
        <v>95</v>
      </c>
      <c r="D24" s="13" t="s">
        <v>96</v>
      </c>
      <c r="E24" s="13" t="s">
        <v>97</v>
      </c>
      <c r="F24" s="13" t="s">
        <v>98</v>
      </c>
      <c r="G24" s="14" t="s">
        <v>17</v>
      </c>
      <c r="H24" s="14" t="s">
        <v>28</v>
      </c>
      <c r="I24" s="14" t="s">
        <v>19</v>
      </c>
      <c r="J24" s="13"/>
      <c r="K24" s="10"/>
      <c r="L24" s="10"/>
      <c r="M24" s="1"/>
      <c r="N24" s="1"/>
    </row>
    <row r="25" spans="1:14" ht="22.8" x14ac:dyDescent="0.3">
      <c r="A25" s="11"/>
      <c r="B25" s="18" t="s">
        <v>99</v>
      </c>
      <c r="C25" s="17" t="s">
        <v>100</v>
      </c>
      <c r="D25" s="17" t="s">
        <v>101</v>
      </c>
      <c r="E25" s="17" t="s">
        <v>102</v>
      </c>
      <c r="F25" s="17" t="s">
        <v>103</v>
      </c>
      <c r="G25" s="18" t="s">
        <v>104</v>
      </c>
      <c r="H25" s="18" t="s">
        <v>28</v>
      </c>
      <c r="I25" s="18" t="s">
        <v>105</v>
      </c>
      <c r="J25" s="17"/>
      <c r="K25" s="10"/>
      <c r="L25" s="10"/>
      <c r="M25" s="1"/>
      <c r="N25" s="1"/>
    </row>
    <row r="26" spans="1:14" ht="22.8" x14ac:dyDescent="0.3">
      <c r="A26" s="11"/>
      <c r="B26" s="14" t="s">
        <v>106</v>
      </c>
      <c r="C26" s="13" t="s">
        <v>107</v>
      </c>
      <c r="D26" s="13" t="s">
        <v>108</v>
      </c>
      <c r="E26" s="13" t="s">
        <v>109</v>
      </c>
      <c r="F26" s="13" t="s">
        <v>110</v>
      </c>
      <c r="G26" s="14" t="s">
        <v>17</v>
      </c>
      <c r="H26" s="14" t="s">
        <v>18</v>
      </c>
      <c r="I26" s="14" t="s">
        <v>105</v>
      </c>
      <c r="J26" s="13"/>
      <c r="K26" s="10"/>
      <c r="L26" s="10"/>
      <c r="M26" s="1"/>
      <c r="N26" s="1"/>
    </row>
    <row r="27" spans="1:14" ht="22.8" x14ac:dyDescent="0.3">
      <c r="A27" s="11"/>
      <c r="B27" s="18" t="s">
        <v>111</v>
      </c>
      <c r="C27" s="17" t="s">
        <v>107</v>
      </c>
      <c r="D27" s="17" t="s">
        <v>112</v>
      </c>
      <c r="E27" s="17" t="s">
        <v>113</v>
      </c>
      <c r="F27" s="17" t="s">
        <v>114</v>
      </c>
      <c r="G27" s="18" t="s">
        <v>17</v>
      </c>
      <c r="H27" s="18" t="s">
        <v>18</v>
      </c>
      <c r="I27" s="18" t="s">
        <v>105</v>
      </c>
      <c r="J27" s="17"/>
      <c r="K27" s="10"/>
      <c r="L27" s="10"/>
      <c r="M27" s="1"/>
      <c r="N27" s="1"/>
    </row>
    <row r="28" spans="1:14" ht="22.8" x14ac:dyDescent="0.3">
      <c r="A28" s="11"/>
      <c r="B28" s="14" t="s">
        <v>115</v>
      </c>
      <c r="C28" s="13" t="s">
        <v>116</v>
      </c>
      <c r="D28" s="13" t="s">
        <v>117</v>
      </c>
      <c r="E28" s="13" t="s">
        <v>118</v>
      </c>
      <c r="F28" s="13" t="s">
        <v>119</v>
      </c>
      <c r="G28" s="14" t="s">
        <v>73</v>
      </c>
      <c r="H28" s="14" t="s">
        <v>18</v>
      </c>
      <c r="I28" s="14" t="s">
        <v>105</v>
      </c>
      <c r="J28" s="13"/>
      <c r="K28" s="10"/>
      <c r="L28" s="10"/>
      <c r="M28" s="1"/>
      <c r="N28" s="1"/>
    </row>
    <row r="29" spans="1:14" ht="22.8" x14ac:dyDescent="0.3">
      <c r="A29" s="11"/>
      <c r="B29" s="18" t="s">
        <v>120</v>
      </c>
      <c r="C29" s="17" t="s">
        <v>121</v>
      </c>
      <c r="D29" s="17" t="s">
        <v>122</v>
      </c>
      <c r="E29" s="17" t="s">
        <v>123</v>
      </c>
      <c r="F29" s="17" t="s">
        <v>124</v>
      </c>
      <c r="G29" s="18" t="s">
        <v>73</v>
      </c>
      <c r="H29" s="18" t="s">
        <v>18</v>
      </c>
      <c r="I29" s="18" t="s">
        <v>105</v>
      </c>
      <c r="J29" s="17"/>
      <c r="K29" s="10"/>
      <c r="L29" s="10"/>
      <c r="M29" s="1"/>
      <c r="N29" s="1"/>
    </row>
    <row r="30" spans="1:14" ht="22.8" x14ac:dyDescent="0.3">
      <c r="A30" s="11"/>
      <c r="B30" s="14" t="s">
        <v>125</v>
      </c>
      <c r="C30" s="13" t="s">
        <v>126</v>
      </c>
      <c r="D30" s="13" t="s">
        <v>127</v>
      </c>
      <c r="E30" s="13" t="s">
        <v>128</v>
      </c>
      <c r="F30" s="13" t="s">
        <v>129</v>
      </c>
      <c r="G30" s="14" t="s">
        <v>73</v>
      </c>
      <c r="H30" s="14" t="s">
        <v>18</v>
      </c>
      <c r="I30" s="14" t="s">
        <v>105</v>
      </c>
      <c r="J30" s="13"/>
      <c r="K30" s="10"/>
      <c r="L30" s="10"/>
      <c r="M30" s="1"/>
      <c r="N30" s="1"/>
    </row>
    <row r="31" spans="1:14" x14ac:dyDescent="0.3">
      <c r="A31" s="74"/>
      <c r="B31" s="75" t="s">
        <v>130</v>
      </c>
      <c r="C31" s="76" t="s">
        <v>34</v>
      </c>
      <c r="D31" s="76" t="s">
        <v>131</v>
      </c>
      <c r="E31" s="76" t="s">
        <v>132</v>
      </c>
      <c r="F31" s="76" t="s">
        <v>41</v>
      </c>
      <c r="G31" s="75" t="s">
        <v>17</v>
      </c>
      <c r="H31" s="75" t="s">
        <v>18</v>
      </c>
      <c r="I31" s="75" t="s">
        <v>19</v>
      </c>
      <c r="J31" s="76"/>
    </row>
    <row r="32" spans="1:14" x14ac:dyDescent="0.3">
      <c r="A32" s="74"/>
      <c r="B32" s="77" t="s">
        <v>133</v>
      </c>
      <c r="C32" s="78" t="s">
        <v>34</v>
      </c>
      <c r="D32" s="78" t="s">
        <v>134</v>
      </c>
      <c r="E32" s="78" t="s">
        <v>135</v>
      </c>
      <c r="F32" s="78" t="s">
        <v>41</v>
      </c>
      <c r="G32" s="77" t="s">
        <v>17</v>
      </c>
      <c r="H32" s="77" t="s">
        <v>18</v>
      </c>
      <c r="I32" s="77" t="s">
        <v>19</v>
      </c>
      <c r="J32" s="78"/>
    </row>
    <row r="33" spans="1:10" ht="22.8" x14ac:dyDescent="0.3">
      <c r="A33" s="74"/>
      <c r="B33" s="75" t="s">
        <v>136</v>
      </c>
      <c r="C33" s="76" t="s">
        <v>34</v>
      </c>
      <c r="D33" s="76" t="s">
        <v>137</v>
      </c>
      <c r="E33" s="76" t="s">
        <v>138</v>
      </c>
      <c r="F33" s="76" t="s">
        <v>41</v>
      </c>
      <c r="G33" s="75" t="s">
        <v>17</v>
      </c>
      <c r="H33" s="75" t="s">
        <v>18</v>
      </c>
      <c r="I33" s="75" t="s">
        <v>19</v>
      </c>
      <c r="J33" s="76"/>
    </row>
    <row r="34" spans="1:10" ht="22.8" x14ac:dyDescent="0.3">
      <c r="A34" s="74"/>
      <c r="B34" s="77" t="s">
        <v>139</v>
      </c>
      <c r="C34" s="78" t="s">
        <v>34</v>
      </c>
      <c r="D34" s="78" t="s">
        <v>140</v>
      </c>
      <c r="E34" s="78" t="s">
        <v>141</v>
      </c>
      <c r="F34" s="78" t="s">
        <v>41</v>
      </c>
      <c r="G34" s="77" t="s">
        <v>17</v>
      </c>
      <c r="H34" s="77" t="s">
        <v>18</v>
      </c>
      <c r="I34" s="77" t="s">
        <v>19</v>
      </c>
      <c r="J34" s="78"/>
    </row>
    <row r="35" spans="1:10" ht="22.8" x14ac:dyDescent="0.3">
      <c r="A35" s="74"/>
      <c r="B35" s="75" t="s">
        <v>142</v>
      </c>
      <c r="C35" s="76" t="s">
        <v>34</v>
      </c>
      <c r="D35" s="76" t="s">
        <v>143</v>
      </c>
      <c r="E35" s="76" t="s">
        <v>144</v>
      </c>
      <c r="F35" s="76" t="s">
        <v>37</v>
      </c>
      <c r="G35" s="75" t="s">
        <v>17</v>
      </c>
      <c r="H35" s="75" t="s">
        <v>28</v>
      </c>
      <c r="I35" s="75" t="s">
        <v>19</v>
      </c>
      <c r="J35" s="76"/>
    </row>
    <row r="36" spans="1:10" ht="22.8" x14ac:dyDescent="0.3">
      <c r="A36" s="74"/>
      <c r="B36" s="77" t="s">
        <v>145</v>
      </c>
      <c r="C36" s="78" t="s">
        <v>49</v>
      </c>
      <c r="D36" s="78" t="s">
        <v>146</v>
      </c>
      <c r="E36" s="78" t="s">
        <v>147</v>
      </c>
      <c r="F36" s="78" t="s">
        <v>148</v>
      </c>
      <c r="G36" s="77" t="s">
        <v>17</v>
      </c>
      <c r="H36" s="77" t="s">
        <v>18</v>
      </c>
      <c r="I36" s="77" t="s">
        <v>19</v>
      </c>
      <c r="J36" s="78"/>
    </row>
    <row r="37" spans="1:10" ht="22.8" x14ac:dyDescent="0.3">
      <c r="A37" s="74"/>
      <c r="B37" s="75" t="s">
        <v>149</v>
      </c>
      <c r="C37" s="76" t="s">
        <v>49</v>
      </c>
      <c r="D37" s="76" t="s">
        <v>150</v>
      </c>
      <c r="E37" s="76" t="s">
        <v>151</v>
      </c>
      <c r="F37" s="76" t="s">
        <v>152</v>
      </c>
      <c r="G37" s="75" t="s">
        <v>17</v>
      </c>
      <c r="H37" s="75" t="s">
        <v>18</v>
      </c>
      <c r="I37" s="75" t="s">
        <v>19</v>
      </c>
      <c r="J37" s="76"/>
    </row>
    <row r="38" spans="1:10" ht="22.8" x14ac:dyDescent="0.3">
      <c r="A38" s="74"/>
      <c r="B38" s="77" t="s">
        <v>153</v>
      </c>
      <c r="C38" s="78" t="s">
        <v>49</v>
      </c>
      <c r="D38" s="78" t="s">
        <v>154</v>
      </c>
      <c r="E38" s="78" t="s">
        <v>155</v>
      </c>
      <c r="F38" s="78" t="s">
        <v>156</v>
      </c>
      <c r="G38" s="77" t="s">
        <v>17</v>
      </c>
      <c r="H38" s="77" t="s">
        <v>28</v>
      </c>
      <c r="I38" s="77" t="s">
        <v>19</v>
      </c>
      <c r="J38" s="78"/>
    </row>
    <row r="39" spans="1:10" ht="22.8" x14ac:dyDescent="0.3">
      <c r="A39" s="74"/>
      <c r="B39" s="75" t="s">
        <v>157</v>
      </c>
      <c r="C39" s="76" t="s">
        <v>49</v>
      </c>
      <c r="D39" s="76" t="s">
        <v>158</v>
      </c>
      <c r="E39" s="76" t="s">
        <v>159</v>
      </c>
      <c r="F39" s="76" t="s">
        <v>52</v>
      </c>
      <c r="G39" s="75" t="s">
        <v>17</v>
      </c>
      <c r="H39" s="75" t="s">
        <v>18</v>
      </c>
      <c r="I39" s="75" t="s">
        <v>19</v>
      </c>
      <c r="J39" s="76"/>
    </row>
    <row r="40" spans="1:10" x14ac:dyDescent="0.3">
      <c r="A40" s="74"/>
      <c r="B40" s="77" t="s">
        <v>160</v>
      </c>
      <c r="C40" s="76" t="s">
        <v>78</v>
      </c>
      <c r="D40" s="80"/>
      <c r="E40" s="80"/>
      <c r="F40" s="80"/>
      <c r="G40" s="80"/>
      <c r="H40" s="80"/>
      <c r="I40" s="75" t="s">
        <v>19</v>
      </c>
      <c r="J40" s="80"/>
    </row>
    <row r="41" spans="1:10" x14ac:dyDescent="0.3">
      <c r="A41" s="74"/>
      <c r="B41" s="75" t="s">
        <v>161</v>
      </c>
      <c r="C41" s="76" t="s">
        <v>70</v>
      </c>
      <c r="D41" s="76" t="s">
        <v>162</v>
      </c>
      <c r="E41" s="76" t="s">
        <v>163</v>
      </c>
      <c r="F41" s="76" t="s">
        <v>41</v>
      </c>
      <c r="G41" s="75" t="s">
        <v>73</v>
      </c>
      <c r="H41" s="75" t="s">
        <v>28</v>
      </c>
      <c r="I41" s="75" t="s">
        <v>19</v>
      </c>
      <c r="J41" s="76"/>
    </row>
    <row r="42" spans="1:10" x14ac:dyDescent="0.3">
      <c r="A42" s="74"/>
      <c r="B42" s="77" t="s">
        <v>164</v>
      </c>
      <c r="C42" s="78" t="s">
        <v>70</v>
      </c>
      <c r="D42" s="78" t="s">
        <v>165</v>
      </c>
      <c r="E42" s="78" t="s">
        <v>166</v>
      </c>
      <c r="F42" s="78" t="s">
        <v>41</v>
      </c>
      <c r="G42" s="77" t="s">
        <v>73</v>
      </c>
      <c r="H42" s="77" t="s">
        <v>18</v>
      </c>
      <c r="I42" s="77" t="s">
        <v>19</v>
      </c>
      <c r="J42" s="78"/>
    </row>
    <row r="43" spans="1:10" x14ac:dyDescent="0.3">
      <c r="A43" s="74"/>
      <c r="B43" s="75" t="s">
        <v>167</v>
      </c>
      <c r="C43" s="76" t="s">
        <v>95</v>
      </c>
      <c r="I43" s="77" t="s">
        <v>19</v>
      </c>
    </row>
    <row r="44" spans="1:10" ht="22.8" x14ac:dyDescent="0.3">
      <c r="A44" s="74"/>
      <c r="B44" s="77" t="s">
        <v>168</v>
      </c>
      <c r="C44" s="78" t="s">
        <v>95</v>
      </c>
      <c r="D44" s="78" t="s">
        <v>169</v>
      </c>
      <c r="E44" s="78" t="s">
        <v>170</v>
      </c>
      <c r="F44" s="78" t="s">
        <v>171</v>
      </c>
      <c r="G44" s="77" t="s">
        <v>17</v>
      </c>
      <c r="H44" s="77" t="s">
        <v>18</v>
      </c>
      <c r="I44" s="77" t="s">
        <v>19</v>
      </c>
      <c r="J44" s="78"/>
    </row>
    <row r="45" spans="1:10" ht="22.8" x14ac:dyDescent="0.3">
      <c r="A45" s="74"/>
      <c r="B45" s="75" t="s">
        <v>172</v>
      </c>
      <c r="C45" s="78" t="s">
        <v>95</v>
      </c>
      <c r="D45" s="78" t="s">
        <v>173</v>
      </c>
      <c r="E45" s="78" t="s">
        <v>174</v>
      </c>
      <c r="F45" s="78" t="s">
        <v>175</v>
      </c>
      <c r="G45" s="77" t="s">
        <v>17</v>
      </c>
      <c r="H45" s="77" t="s">
        <v>28</v>
      </c>
      <c r="I45" s="77" t="s">
        <v>19</v>
      </c>
      <c r="J45" s="77"/>
    </row>
    <row r="46" spans="1:10" ht="22.8" x14ac:dyDescent="0.3">
      <c r="A46" s="74"/>
      <c r="B46" s="77" t="s">
        <v>176</v>
      </c>
      <c r="C46" s="78" t="s">
        <v>177</v>
      </c>
      <c r="D46" s="78" t="s">
        <v>178</v>
      </c>
      <c r="E46" s="78" t="s">
        <v>179</v>
      </c>
      <c r="F46" s="78" t="s">
        <v>180</v>
      </c>
      <c r="G46" s="77" t="s">
        <v>17</v>
      </c>
      <c r="H46" s="77" t="s">
        <v>18</v>
      </c>
      <c r="I46" s="77" t="s">
        <v>19</v>
      </c>
      <c r="J46" s="78"/>
    </row>
    <row r="47" spans="1:10" ht="22.8" x14ac:dyDescent="0.3">
      <c r="A47" s="74"/>
      <c r="B47" s="75" t="s">
        <v>181</v>
      </c>
      <c r="C47" s="76" t="s">
        <v>177</v>
      </c>
      <c r="D47" s="76" t="s">
        <v>182</v>
      </c>
      <c r="E47" s="76" t="s">
        <v>183</v>
      </c>
      <c r="F47" s="76" t="s">
        <v>184</v>
      </c>
      <c r="G47" s="75" t="s">
        <v>17</v>
      </c>
      <c r="H47" s="75" t="s">
        <v>18</v>
      </c>
      <c r="I47" s="75" t="s">
        <v>19</v>
      </c>
      <c r="J47" s="76"/>
    </row>
    <row r="48" spans="1:10" ht="22.8" x14ac:dyDescent="0.3">
      <c r="A48" s="74"/>
      <c r="B48" s="77" t="s">
        <v>185</v>
      </c>
      <c r="C48" s="78" t="s">
        <v>177</v>
      </c>
      <c r="D48" s="78" t="s">
        <v>186</v>
      </c>
      <c r="E48" s="78" t="s">
        <v>187</v>
      </c>
      <c r="F48" s="78" t="s">
        <v>188</v>
      </c>
      <c r="G48" s="77" t="s">
        <v>17</v>
      </c>
      <c r="H48" s="77" t="s">
        <v>18</v>
      </c>
      <c r="I48" s="77" t="s">
        <v>19</v>
      </c>
      <c r="J48" s="78"/>
    </row>
    <row r="49" spans="1:14" ht="22.8" x14ac:dyDescent="0.3">
      <c r="A49" s="74"/>
      <c r="B49" s="75" t="s">
        <v>189</v>
      </c>
      <c r="C49" s="76" t="s">
        <v>190</v>
      </c>
      <c r="D49" s="76" t="s">
        <v>191</v>
      </c>
      <c r="E49" s="76" t="s">
        <v>192</v>
      </c>
      <c r="F49" s="76" t="s">
        <v>193</v>
      </c>
      <c r="G49" s="75" t="s">
        <v>17</v>
      </c>
      <c r="H49" s="75" t="s">
        <v>18</v>
      </c>
      <c r="I49" s="75" t="s">
        <v>19</v>
      </c>
      <c r="J49" s="76"/>
    </row>
    <row r="50" spans="1:14" ht="22.8" x14ac:dyDescent="0.3">
      <c r="A50" s="74"/>
      <c r="B50" s="77" t="s">
        <v>194</v>
      </c>
      <c r="C50" s="78" t="s">
        <v>190</v>
      </c>
      <c r="D50" s="78" t="s">
        <v>195</v>
      </c>
      <c r="E50" s="78" t="s">
        <v>196</v>
      </c>
      <c r="F50" s="78" t="s">
        <v>197</v>
      </c>
      <c r="G50" s="77" t="s">
        <v>17</v>
      </c>
      <c r="H50" s="77" t="s">
        <v>18</v>
      </c>
      <c r="I50" s="77" t="s">
        <v>19</v>
      </c>
      <c r="J50" s="78"/>
    </row>
    <row r="51" spans="1:14" ht="22.8" x14ac:dyDescent="0.3">
      <c r="A51" s="74"/>
      <c r="B51" s="75" t="s">
        <v>198</v>
      </c>
      <c r="C51" s="76" t="s">
        <v>199</v>
      </c>
      <c r="D51" s="76" t="s">
        <v>200</v>
      </c>
      <c r="E51" s="76" t="s">
        <v>201</v>
      </c>
      <c r="F51" s="76" t="s">
        <v>202</v>
      </c>
      <c r="G51" s="75" t="s">
        <v>17</v>
      </c>
      <c r="H51" s="75" t="s">
        <v>18</v>
      </c>
      <c r="I51" s="75" t="s">
        <v>19</v>
      </c>
      <c r="J51" s="76"/>
    </row>
    <row r="52" spans="1:14" ht="22.8" x14ac:dyDescent="0.3">
      <c r="A52" s="74"/>
      <c r="B52" s="77" t="s">
        <v>203</v>
      </c>
      <c r="C52" s="78" t="s">
        <v>199</v>
      </c>
      <c r="D52" s="78" t="s">
        <v>204</v>
      </c>
      <c r="E52" s="78" t="s">
        <v>205</v>
      </c>
      <c r="F52" s="78" t="s">
        <v>206</v>
      </c>
      <c r="G52" s="77" t="s">
        <v>17</v>
      </c>
      <c r="H52" s="77" t="s">
        <v>18</v>
      </c>
      <c r="I52" s="77" t="s">
        <v>19</v>
      </c>
      <c r="J52" s="78"/>
    </row>
    <row r="53" spans="1:14" x14ac:dyDescent="0.3">
      <c r="A53" s="74"/>
      <c r="B53" s="75" t="s">
        <v>207</v>
      </c>
      <c r="C53" s="76" t="s">
        <v>199</v>
      </c>
      <c r="D53" s="76" t="s">
        <v>208</v>
      </c>
      <c r="E53" s="76" t="s">
        <v>209</v>
      </c>
      <c r="F53" s="76" t="s">
        <v>210</v>
      </c>
      <c r="G53" s="75" t="s">
        <v>17</v>
      </c>
      <c r="H53" s="75" t="s">
        <v>18</v>
      </c>
      <c r="I53" s="75" t="s">
        <v>19</v>
      </c>
      <c r="J53" s="76"/>
    </row>
    <row r="54" spans="1:14" x14ac:dyDescent="0.3">
      <c r="A54" s="11"/>
      <c r="B54" s="16"/>
      <c r="C54" s="17"/>
      <c r="D54" s="18"/>
      <c r="E54" s="17"/>
      <c r="F54" s="19"/>
      <c r="G54" s="19"/>
      <c r="H54" s="19"/>
      <c r="I54" s="19"/>
      <c r="J54" s="17"/>
      <c r="K54" s="10"/>
      <c r="L54" s="10"/>
      <c r="M54" s="1"/>
      <c r="N54" s="1"/>
    </row>
    <row r="55" spans="1:14" x14ac:dyDescent="0.3">
      <c r="A55" s="11"/>
      <c r="B55" s="12"/>
      <c r="C55" s="13"/>
      <c r="D55" s="14"/>
      <c r="E55" s="13"/>
      <c r="F55" s="15"/>
      <c r="G55" s="15"/>
      <c r="H55" s="15"/>
      <c r="I55" s="15"/>
      <c r="J55" s="13"/>
      <c r="K55" s="10"/>
      <c r="L55" s="10"/>
      <c r="M55" s="1"/>
      <c r="N55" s="1"/>
    </row>
    <row r="56" spans="1:14" x14ac:dyDescent="0.3">
      <c r="A56" s="11"/>
      <c r="B56" s="16"/>
      <c r="C56" s="17"/>
      <c r="D56" s="18"/>
      <c r="E56" s="17"/>
      <c r="F56" s="19"/>
      <c r="G56" s="19"/>
      <c r="H56" s="19"/>
      <c r="I56" s="19"/>
      <c r="J56" s="17"/>
      <c r="K56" s="10"/>
      <c r="L56" s="10"/>
      <c r="M56" s="1"/>
      <c r="N56" s="1"/>
    </row>
    <row r="57" spans="1:14" x14ac:dyDescent="0.3">
      <c r="A57" s="11"/>
      <c r="B57" s="12"/>
      <c r="C57" s="13"/>
      <c r="D57" s="14"/>
      <c r="E57" s="13"/>
      <c r="F57" s="15"/>
      <c r="G57" s="15"/>
      <c r="H57" s="15"/>
      <c r="I57" s="15"/>
      <c r="J57" s="13"/>
      <c r="K57" s="10"/>
      <c r="L57" s="10"/>
      <c r="M57" s="1"/>
      <c r="N57" s="1"/>
    </row>
    <row r="58" spans="1:14" x14ac:dyDescent="0.3">
      <c r="A58" s="11"/>
      <c r="B58" s="16"/>
      <c r="C58" s="17"/>
      <c r="D58" s="18"/>
      <c r="E58" s="17"/>
      <c r="F58" s="19"/>
      <c r="G58" s="19"/>
      <c r="H58" s="19"/>
      <c r="I58" s="19"/>
      <c r="J58" s="17"/>
      <c r="K58" s="10"/>
      <c r="L58" s="10"/>
      <c r="M58" s="1"/>
      <c r="N58" s="1"/>
    </row>
    <row r="59" spans="1:14" x14ac:dyDescent="0.3">
      <c r="A59" s="11"/>
      <c r="B59" s="12"/>
      <c r="C59" s="13"/>
      <c r="D59" s="14"/>
      <c r="E59" s="13"/>
      <c r="F59" s="15"/>
      <c r="G59" s="15"/>
      <c r="H59" s="15"/>
      <c r="I59" s="15"/>
      <c r="J59" s="13"/>
      <c r="K59" s="10"/>
      <c r="L59" s="10"/>
      <c r="M59" s="1"/>
      <c r="N59" s="1"/>
    </row>
    <row r="60" spans="1:14" x14ac:dyDescent="0.3">
      <c r="A60" s="11"/>
      <c r="B60" s="16"/>
      <c r="C60" s="17"/>
      <c r="D60" s="18"/>
      <c r="E60" s="17"/>
      <c r="F60" s="19"/>
      <c r="G60" s="19"/>
      <c r="H60" s="19"/>
      <c r="I60" s="19"/>
      <c r="J60" s="17"/>
      <c r="K60" s="10"/>
      <c r="L60" s="10"/>
      <c r="M60" s="1"/>
      <c r="N60" s="1"/>
    </row>
    <row r="61" spans="1:14" x14ac:dyDescent="0.3">
      <c r="A61" s="11"/>
      <c r="B61" s="12"/>
      <c r="C61" s="13"/>
      <c r="D61" s="14"/>
      <c r="E61" s="13"/>
      <c r="F61" s="15"/>
      <c r="G61" s="15"/>
      <c r="H61" s="15"/>
      <c r="I61" s="15"/>
      <c r="J61" s="13"/>
      <c r="K61" s="10"/>
      <c r="L61" s="10"/>
      <c r="M61" s="1"/>
      <c r="N61" s="1"/>
    </row>
    <row r="62" spans="1:14" x14ac:dyDescent="0.3">
      <c r="A62" s="20"/>
      <c r="B62" s="70"/>
      <c r="C62" s="20"/>
      <c r="D62" s="20"/>
      <c r="E62" s="20"/>
      <c r="F62" s="20"/>
      <c r="G62" s="20"/>
      <c r="H62" s="20"/>
      <c r="I62" s="20"/>
      <c r="J62" s="20"/>
      <c r="K62" s="21"/>
      <c r="L62" s="10"/>
      <c r="M62" s="10"/>
      <c r="N62" s="10"/>
    </row>
    <row r="63" spans="1:14" x14ac:dyDescent="0.3">
      <c r="A63" s="20"/>
      <c r="B63" s="70"/>
      <c r="C63" s="73" t="s">
        <v>211</v>
      </c>
      <c r="D63" s="79"/>
      <c r="E63" s="79"/>
      <c r="F63" s="79"/>
      <c r="G63" s="79"/>
      <c r="H63" s="79"/>
      <c r="I63" s="79"/>
      <c r="J63" s="79"/>
      <c r="K63" s="21"/>
      <c r="L63" s="10"/>
      <c r="M63" s="10"/>
      <c r="N63" s="10"/>
    </row>
    <row r="64" spans="1:14" x14ac:dyDescent="0.3">
      <c r="A64" s="20"/>
      <c r="B64" s="70"/>
      <c r="C64" s="20"/>
      <c r="D64" s="20"/>
      <c r="E64" s="20"/>
      <c r="F64" s="20"/>
      <c r="G64" s="20"/>
      <c r="H64" s="20"/>
      <c r="I64" s="20"/>
      <c r="J64" s="20"/>
      <c r="K64" s="21"/>
      <c r="L64" s="10"/>
      <c r="M64" s="10"/>
      <c r="N64" s="10"/>
    </row>
    <row r="65" spans="1:14" x14ac:dyDescent="0.3">
      <c r="A65" s="20"/>
      <c r="B65" s="70"/>
      <c r="C65" s="20"/>
      <c r="D65" s="20"/>
      <c r="E65" s="20"/>
      <c r="F65" s="20"/>
      <c r="G65" s="20"/>
      <c r="H65" s="20"/>
      <c r="I65" s="20"/>
      <c r="J65" s="20"/>
      <c r="K65" s="21"/>
      <c r="L65" s="10"/>
      <c r="M65" s="10"/>
      <c r="N65" s="10"/>
    </row>
    <row r="66" spans="1:14" x14ac:dyDescent="0.3">
      <c r="A66" s="20"/>
      <c r="B66" s="22">
        <f>+COUNT(B6:B53)</f>
        <v>0</v>
      </c>
      <c r="C66" s="73" t="s">
        <v>212</v>
      </c>
      <c r="D66" s="79"/>
      <c r="E66" s="79"/>
      <c r="F66" s="79"/>
      <c r="G66" s="79"/>
      <c r="H66" s="79"/>
      <c r="I66" s="79"/>
      <c r="J66" s="79"/>
      <c r="K66" s="21"/>
      <c r="L66" s="10"/>
      <c r="M66" s="10"/>
      <c r="N66" s="10"/>
    </row>
    <row r="67" spans="1:14" x14ac:dyDescent="0.3">
      <c r="A67" s="21"/>
      <c r="B67" s="71"/>
      <c r="C67" s="21"/>
      <c r="D67" s="21"/>
      <c r="E67" s="21"/>
      <c r="F67" s="21"/>
      <c r="G67" s="21"/>
      <c r="H67" s="21"/>
      <c r="I67" s="21"/>
      <c r="J67" s="21"/>
      <c r="K67" s="21"/>
      <c r="L67" s="10"/>
      <c r="M67" s="10"/>
      <c r="N67" s="10"/>
    </row>
    <row r="68" spans="1:14" x14ac:dyDescent="0.3">
      <c r="A68" s="21"/>
      <c r="B68" s="72" t="s">
        <v>213</v>
      </c>
      <c r="K68" s="21"/>
      <c r="L68" s="10"/>
      <c r="M68" s="10"/>
      <c r="N68" s="10"/>
    </row>
    <row r="69" spans="1:14" x14ac:dyDescent="0.3">
      <c r="A69" s="21"/>
      <c r="B69" s="23" t="s">
        <v>214</v>
      </c>
      <c r="C69" s="24" t="s">
        <v>215</v>
      </c>
      <c r="D69" s="25" t="s">
        <v>216</v>
      </c>
      <c r="E69" s="26" t="s">
        <v>217</v>
      </c>
      <c r="F69" s="27" t="s">
        <v>218</v>
      </c>
      <c r="G69" s="28" t="s">
        <v>219</v>
      </c>
      <c r="H69" s="21"/>
      <c r="I69" s="21"/>
      <c r="J69" s="21"/>
      <c r="K69" s="21"/>
      <c r="L69" s="10"/>
      <c r="M69" s="10"/>
      <c r="N69" s="10"/>
    </row>
    <row r="70" spans="1:14" x14ac:dyDescent="0.3">
      <c r="A70" s="21"/>
      <c r="B70" s="71"/>
      <c r="C70" s="21"/>
      <c r="D70" s="21"/>
      <c r="E70" s="21"/>
      <c r="F70" s="21"/>
      <c r="G70" s="21"/>
      <c r="H70" s="21"/>
      <c r="I70" s="21"/>
      <c r="J70" s="21"/>
      <c r="K70" s="21"/>
      <c r="L70" s="10"/>
      <c r="M70" s="10"/>
      <c r="N70" s="10"/>
    </row>
    <row r="71" spans="1:14" x14ac:dyDescent="0.3">
      <c r="A71" s="21"/>
      <c r="B71" s="71"/>
      <c r="C71" s="21"/>
      <c r="D71" s="21"/>
      <c r="E71" s="21"/>
      <c r="F71" s="21"/>
      <c r="G71" s="21"/>
      <c r="H71" s="21"/>
      <c r="I71" s="21"/>
      <c r="J71" s="21"/>
      <c r="K71" s="21"/>
      <c r="L71" s="10"/>
      <c r="M71" s="10"/>
      <c r="N71" s="10"/>
    </row>
    <row r="72" spans="1:14" x14ac:dyDescent="0.3">
      <c r="A72" s="21"/>
      <c r="B72" s="71"/>
      <c r="C72" s="21"/>
      <c r="D72" s="21"/>
      <c r="E72" s="21"/>
      <c r="F72" s="21"/>
      <c r="G72" s="21"/>
      <c r="H72" s="21"/>
      <c r="I72" s="21"/>
      <c r="J72" s="21"/>
      <c r="K72" s="21"/>
      <c r="L72" s="10"/>
      <c r="M72" s="10"/>
      <c r="N72" s="10"/>
    </row>
    <row r="73" spans="1:14" x14ac:dyDescent="0.3">
      <c r="A73" s="21"/>
      <c r="B73" s="71"/>
      <c r="C73" s="21"/>
      <c r="D73" s="21"/>
      <c r="E73" s="21"/>
      <c r="F73" s="21"/>
      <c r="G73" s="21"/>
      <c r="H73" s="21"/>
      <c r="I73" s="21"/>
      <c r="J73" s="21"/>
      <c r="K73" s="21"/>
      <c r="L73" s="10"/>
      <c r="M73" s="10"/>
      <c r="N73" s="10"/>
    </row>
    <row r="74" spans="1:14" x14ac:dyDescent="0.3">
      <c r="A74" s="21"/>
      <c r="B74" s="71"/>
      <c r="C74" s="21"/>
      <c r="D74" s="21"/>
      <c r="E74" s="21"/>
      <c r="F74" s="21"/>
      <c r="G74" s="21"/>
      <c r="H74" s="21"/>
      <c r="I74" s="21"/>
      <c r="J74" s="21"/>
      <c r="K74" s="21"/>
      <c r="L74" s="10"/>
      <c r="M74" s="10"/>
      <c r="N74" s="10"/>
    </row>
    <row r="75" spans="1:14" x14ac:dyDescent="0.3">
      <c r="A75" s="21"/>
      <c r="B75" s="71"/>
      <c r="C75" s="21"/>
      <c r="D75" s="21"/>
      <c r="E75" s="21"/>
      <c r="F75" s="21"/>
      <c r="G75" s="21"/>
      <c r="H75" s="21"/>
      <c r="I75" s="21"/>
      <c r="J75" s="21"/>
      <c r="K75" s="21"/>
      <c r="L75" s="10"/>
      <c r="M75" s="10"/>
      <c r="N75" s="10"/>
    </row>
    <row r="76" spans="1:14" x14ac:dyDescent="0.3">
      <c r="A76" s="21"/>
      <c r="B76" s="71"/>
      <c r="C76" s="21"/>
      <c r="D76" s="21"/>
      <c r="E76" s="21"/>
      <c r="F76" s="21"/>
      <c r="G76" s="21"/>
      <c r="H76" s="21"/>
      <c r="I76" s="21"/>
      <c r="J76" s="21"/>
      <c r="K76" s="21"/>
      <c r="L76" s="10"/>
      <c r="M76" s="10"/>
      <c r="N76" s="10"/>
    </row>
    <row r="77" spans="1:14" x14ac:dyDescent="0.3">
      <c r="A77" s="21"/>
      <c r="B77" s="71"/>
      <c r="C77" s="21"/>
      <c r="D77" s="21"/>
      <c r="E77" s="21"/>
      <c r="F77" s="21"/>
      <c r="G77" s="21"/>
      <c r="H77" s="21"/>
      <c r="I77" s="21"/>
      <c r="J77" s="21"/>
      <c r="K77" s="21"/>
      <c r="L77" s="10"/>
      <c r="M77" s="10"/>
      <c r="N77" s="10"/>
    </row>
    <row r="78" spans="1:14" x14ac:dyDescent="0.3">
      <c r="A78" s="21"/>
      <c r="B78" s="71"/>
      <c r="C78" s="21"/>
      <c r="D78" s="21"/>
      <c r="E78" s="21"/>
      <c r="F78" s="21"/>
      <c r="G78" s="21"/>
      <c r="H78" s="21"/>
      <c r="I78" s="21"/>
      <c r="J78" s="21"/>
      <c r="K78" s="21"/>
      <c r="L78" s="10"/>
      <c r="M78" s="10"/>
      <c r="N78" s="10"/>
    </row>
    <row r="79" spans="1:14" x14ac:dyDescent="0.3">
      <c r="A79" s="21"/>
      <c r="B79" s="71"/>
      <c r="C79" s="21"/>
      <c r="D79" s="21"/>
      <c r="E79" s="21"/>
      <c r="F79" s="21"/>
      <c r="G79" s="21"/>
      <c r="H79" s="21"/>
      <c r="I79" s="21"/>
      <c r="J79" s="21"/>
      <c r="K79" s="21"/>
      <c r="L79" s="10"/>
      <c r="M79" s="10"/>
      <c r="N79" s="10"/>
    </row>
    <row r="80" spans="1:14" x14ac:dyDescent="0.3">
      <c r="A80" s="21"/>
      <c r="B80" s="71"/>
      <c r="C80" s="21"/>
      <c r="D80" s="21"/>
      <c r="E80" s="21"/>
      <c r="F80" s="21"/>
      <c r="G80" s="21"/>
      <c r="H80" s="21"/>
      <c r="I80" s="21"/>
      <c r="J80" s="21"/>
      <c r="K80" s="21"/>
      <c r="L80" s="10"/>
      <c r="M80" s="10"/>
      <c r="N80" s="10"/>
    </row>
    <row r="81" spans="1:14" x14ac:dyDescent="0.3">
      <c r="A81" s="21"/>
      <c r="B81" s="71"/>
      <c r="C81" s="21"/>
      <c r="D81" s="21"/>
      <c r="E81" s="21"/>
      <c r="F81" s="21"/>
      <c r="G81" s="21"/>
      <c r="H81" s="21"/>
      <c r="I81" s="21"/>
      <c r="J81" s="21"/>
      <c r="K81" s="21"/>
      <c r="L81" s="10"/>
      <c r="M81" s="10"/>
      <c r="N81" s="10"/>
    </row>
    <row r="82" spans="1:14" x14ac:dyDescent="0.3">
      <c r="A82" s="21"/>
      <c r="B82" s="71"/>
      <c r="C82" s="21"/>
      <c r="D82" s="21"/>
      <c r="E82" s="21"/>
      <c r="F82" s="21"/>
      <c r="G82" s="21"/>
      <c r="H82" s="21"/>
      <c r="I82" s="21"/>
      <c r="J82" s="21"/>
      <c r="K82" s="21"/>
      <c r="L82" s="10"/>
      <c r="M82" s="10"/>
      <c r="N82" s="10"/>
    </row>
    <row r="83" spans="1:14" x14ac:dyDescent="0.3">
      <c r="A83" s="21"/>
      <c r="B83" s="71"/>
      <c r="C83" s="21"/>
      <c r="D83" s="21"/>
      <c r="E83" s="21"/>
      <c r="F83" s="21"/>
      <c r="G83" s="21"/>
      <c r="H83" s="21"/>
      <c r="I83" s="21"/>
      <c r="J83" s="21"/>
      <c r="K83" s="21"/>
      <c r="L83" s="10"/>
      <c r="M83" s="10"/>
      <c r="N83" s="10"/>
    </row>
    <row r="84" spans="1:14" x14ac:dyDescent="0.3">
      <c r="A84" s="21"/>
      <c r="B84" s="71"/>
      <c r="C84" s="21"/>
      <c r="D84" s="21"/>
      <c r="E84" s="21"/>
      <c r="F84" s="21"/>
      <c r="G84" s="21"/>
      <c r="H84" s="21"/>
      <c r="I84" s="21"/>
      <c r="J84" s="21"/>
      <c r="K84" s="21"/>
      <c r="L84" s="10"/>
      <c r="M84" s="10"/>
      <c r="N84" s="10"/>
    </row>
    <row r="85" spans="1:14" x14ac:dyDescent="0.3">
      <c r="A85" s="21"/>
      <c r="B85" s="71"/>
      <c r="C85" s="21"/>
      <c r="D85" s="21"/>
      <c r="E85" s="21"/>
      <c r="F85" s="21"/>
      <c r="G85" s="21"/>
      <c r="H85" s="21"/>
      <c r="I85" s="21"/>
      <c r="J85" s="21"/>
      <c r="K85" s="21"/>
      <c r="L85" s="10"/>
      <c r="M85" s="10"/>
      <c r="N85" s="10"/>
    </row>
    <row r="86" spans="1:14" x14ac:dyDescent="0.3">
      <c r="A86" s="21"/>
      <c r="B86" s="71"/>
      <c r="C86" s="21"/>
      <c r="D86" s="21"/>
      <c r="E86" s="21"/>
      <c r="F86" s="21"/>
      <c r="G86" s="21"/>
      <c r="H86" s="21"/>
      <c r="I86" s="21"/>
      <c r="J86" s="21"/>
      <c r="K86" s="21"/>
      <c r="L86" s="10"/>
      <c r="M86" s="10"/>
      <c r="N86" s="10"/>
    </row>
    <row r="87" spans="1:14" x14ac:dyDescent="0.3">
      <c r="A87" s="21"/>
      <c r="B87" s="71"/>
      <c r="C87" s="21"/>
      <c r="D87" s="21"/>
      <c r="E87" s="21"/>
      <c r="F87" s="21"/>
      <c r="G87" s="21"/>
      <c r="H87" s="21"/>
      <c r="I87" s="21"/>
      <c r="J87" s="21"/>
      <c r="K87" s="21"/>
      <c r="L87" s="10"/>
      <c r="M87" s="10"/>
      <c r="N87" s="10"/>
    </row>
    <row r="88" spans="1:14" x14ac:dyDescent="0.3">
      <c r="A88" s="21"/>
      <c r="B88" s="71"/>
      <c r="C88" s="21"/>
      <c r="D88" s="21"/>
      <c r="E88" s="21"/>
      <c r="F88" s="21"/>
      <c r="G88" s="21"/>
      <c r="H88" s="21"/>
      <c r="I88" s="21"/>
      <c r="J88" s="21"/>
      <c r="K88" s="21"/>
      <c r="L88" s="10"/>
      <c r="M88" s="10"/>
      <c r="N88" s="10"/>
    </row>
    <row r="89" spans="1:14" x14ac:dyDescent="0.3">
      <c r="A89" s="21"/>
      <c r="B89" s="71"/>
      <c r="C89" s="21"/>
      <c r="D89" s="21"/>
      <c r="E89" s="21"/>
      <c r="F89" s="21"/>
      <c r="G89" s="21"/>
      <c r="H89" s="21"/>
      <c r="I89" s="21"/>
      <c r="J89" s="21"/>
      <c r="K89" s="21"/>
      <c r="L89" s="10"/>
      <c r="M89" s="10"/>
      <c r="N89" s="10"/>
    </row>
    <row r="90" spans="1:14" x14ac:dyDescent="0.3">
      <c r="A90" s="2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10"/>
      <c r="M90" s="10"/>
      <c r="N90" s="10"/>
    </row>
    <row r="91" spans="1:14" x14ac:dyDescent="0.3">
      <c r="A91" s="2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10"/>
      <c r="M91" s="10"/>
      <c r="N91" s="10"/>
    </row>
    <row r="92" spans="1:14" x14ac:dyDescent="0.3">
      <c r="A92" s="2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10"/>
      <c r="M92" s="10"/>
      <c r="N92" s="10"/>
    </row>
    <row r="93" spans="1:14" x14ac:dyDescent="0.3">
      <c r="A93" s="2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10"/>
      <c r="M93" s="10"/>
      <c r="N93" s="10"/>
    </row>
    <row r="94" spans="1:14" x14ac:dyDescent="0.3">
      <c r="A94" s="2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10"/>
      <c r="M94" s="10"/>
      <c r="N94" s="10"/>
    </row>
    <row r="95" spans="1:14" x14ac:dyDescent="0.3">
      <c r="A95" s="2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10"/>
      <c r="M95" s="10"/>
      <c r="N95" s="10"/>
    </row>
    <row r="96" spans="1:14" x14ac:dyDescent="0.3">
      <c r="A96" s="2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10"/>
      <c r="M96" s="10"/>
      <c r="N96" s="10"/>
    </row>
    <row r="97" spans="1:14" x14ac:dyDescent="0.3">
      <c r="A97" s="2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10"/>
      <c r="M97" s="10"/>
      <c r="N97" s="10"/>
    </row>
    <row r="98" spans="1:14" x14ac:dyDescent="0.3">
      <c r="A98" s="2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10"/>
      <c r="M98" s="10"/>
      <c r="N98" s="10"/>
    </row>
    <row r="99" spans="1:14" x14ac:dyDescent="0.3">
      <c r="A99" s="2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10"/>
      <c r="M99" s="10"/>
      <c r="N99" s="10"/>
    </row>
    <row r="100" spans="1:14" x14ac:dyDescent="0.3">
      <c r="A100" s="2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10"/>
      <c r="M100" s="10"/>
      <c r="N100" s="10"/>
    </row>
    <row r="101" spans="1:14" x14ac:dyDescent="0.3">
      <c r="A101" s="2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10"/>
      <c r="M101" s="10"/>
      <c r="N101" s="10"/>
    </row>
    <row r="102" spans="1:14" x14ac:dyDescent="0.3">
      <c r="A102" s="2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10"/>
      <c r="M102" s="10"/>
      <c r="N102" s="10"/>
    </row>
    <row r="103" spans="1:14" x14ac:dyDescent="0.3">
      <c r="A103" s="2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10"/>
      <c r="M103" s="10"/>
      <c r="N103" s="10"/>
    </row>
    <row r="104" spans="1:14" x14ac:dyDescent="0.3">
      <c r="A104" s="2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10"/>
      <c r="M104" s="10"/>
      <c r="N104" s="10"/>
    </row>
    <row r="105" spans="1:14" x14ac:dyDescent="0.3">
      <c r="A105" s="2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10"/>
      <c r="M105" s="10"/>
      <c r="N105" s="10"/>
    </row>
    <row r="106" spans="1:14" x14ac:dyDescent="0.3">
      <c r="A106" s="2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10"/>
      <c r="M106" s="10"/>
      <c r="N106" s="10"/>
    </row>
    <row r="107" spans="1:14" x14ac:dyDescent="0.3">
      <c r="A107" s="2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10"/>
      <c r="M107" s="10"/>
      <c r="N107" s="10"/>
    </row>
    <row r="108" spans="1:14" x14ac:dyDescent="0.3">
      <c r="A108" s="2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10"/>
      <c r="M108" s="10"/>
      <c r="N108" s="10"/>
    </row>
    <row r="109" spans="1:14" x14ac:dyDescent="0.3">
      <c r="A109" s="2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10"/>
      <c r="M109" s="10"/>
      <c r="N109" s="10"/>
    </row>
    <row r="110" spans="1:14" x14ac:dyDescent="0.3">
      <c r="A110" s="2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10"/>
      <c r="M110" s="10"/>
      <c r="N110" s="10"/>
    </row>
    <row r="111" spans="1:14" x14ac:dyDescent="0.3">
      <c r="A111" s="2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10"/>
      <c r="M111" s="10"/>
      <c r="N111" s="10"/>
    </row>
    <row r="112" spans="1:14" x14ac:dyDescent="0.3">
      <c r="A112" s="2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10"/>
      <c r="M112" s="10"/>
      <c r="N112" s="10"/>
    </row>
    <row r="113" spans="1:14" x14ac:dyDescent="0.3">
      <c r="A113" s="2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10"/>
      <c r="M113" s="10"/>
      <c r="N113" s="10"/>
    </row>
    <row r="114" spans="1:14" x14ac:dyDescent="0.3">
      <c r="A114" s="2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10"/>
      <c r="M114" s="10"/>
      <c r="N114" s="10"/>
    </row>
    <row r="115" spans="1:14" x14ac:dyDescent="0.3">
      <c r="A115" s="2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10"/>
      <c r="M115" s="10"/>
      <c r="N115" s="10"/>
    </row>
    <row r="116" spans="1:14" x14ac:dyDescent="0.3">
      <c r="A116" s="2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10"/>
      <c r="M116" s="10"/>
      <c r="N116" s="10"/>
    </row>
    <row r="117" spans="1:14" x14ac:dyDescent="0.3">
      <c r="A117" s="2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10"/>
      <c r="M117" s="10"/>
      <c r="N117" s="10"/>
    </row>
    <row r="118" spans="1:14" x14ac:dyDescent="0.3">
      <c r="A118" s="2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10"/>
      <c r="M118" s="10"/>
      <c r="N118" s="10"/>
    </row>
    <row r="119" spans="1:14" x14ac:dyDescent="0.3">
      <c r="A119" s="2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10"/>
      <c r="M119" s="10"/>
      <c r="N119" s="10"/>
    </row>
    <row r="120" spans="1:14" x14ac:dyDescent="0.3">
      <c r="A120" s="2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10"/>
      <c r="M120" s="10"/>
      <c r="N120" s="10"/>
    </row>
    <row r="121" spans="1:14" x14ac:dyDescent="0.3">
      <c r="A121" s="2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10"/>
      <c r="M121" s="10"/>
      <c r="N121" s="10"/>
    </row>
    <row r="122" spans="1:14" x14ac:dyDescent="0.3">
      <c r="A122" s="2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10"/>
      <c r="M122" s="10"/>
      <c r="N122" s="10"/>
    </row>
    <row r="123" spans="1:14" x14ac:dyDescent="0.3">
      <c r="A123" s="2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10"/>
      <c r="M123" s="10"/>
      <c r="N123" s="10"/>
    </row>
    <row r="124" spans="1:14" x14ac:dyDescent="0.3">
      <c r="A124" s="2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10"/>
      <c r="M124" s="10"/>
      <c r="N124" s="10"/>
    </row>
    <row r="125" spans="1:14" x14ac:dyDescent="0.3">
      <c r="A125" s="2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10"/>
      <c r="M125" s="10"/>
      <c r="N125" s="10"/>
    </row>
    <row r="126" spans="1:14" x14ac:dyDescent="0.3">
      <c r="A126" s="2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10"/>
      <c r="M126" s="10"/>
      <c r="N126" s="10"/>
    </row>
    <row r="127" spans="1:14" x14ac:dyDescent="0.3">
      <c r="A127" s="2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10"/>
      <c r="M127" s="10"/>
      <c r="N127" s="10"/>
    </row>
    <row r="128" spans="1:14" x14ac:dyDescent="0.3">
      <c r="A128" s="2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10"/>
      <c r="M128" s="10"/>
      <c r="N128" s="10"/>
    </row>
    <row r="129" spans="1:14" x14ac:dyDescent="0.3">
      <c r="A129" s="2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10"/>
      <c r="M129" s="10"/>
      <c r="N129" s="10"/>
    </row>
    <row r="130" spans="1:14" x14ac:dyDescent="0.3">
      <c r="A130" s="2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10"/>
      <c r="M130" s="10"/>
      <c r="N130" s="10"/>
    </row>
    <row r="131" spans="1:14" x14ac:dyDescent="0.3">
      <c r="A131" s="2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10"/>
      <c r="M131" s="10"/>
      <c r="N131" s="10"/>
    </row>
    <row r="132" spans="1:14" x14ac:dyDescent="0.3">
      <c r="A132" s="2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10"/>
      <c r="M132" s="10"/>
      <c r="N132" s="10"/>
    </row>
    <row r="133" spans="1:14" x14ac:dyDescent="0.3">
      <c r="A133" s="2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10"/>
      <c r="M133" s="10"/>
      <c r="N133" s="10"/>
    </row>
    <row r="134" spans="1:14" x14ac:dyDescent="0.3">
      <c r="A134" s="2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10"/>
      <c r="M134" s="10"/>
      <c r="N134" s="10"/>
    </row>
    <row r="135" spans="1:14" x14ac:dyDescent="0.3">
      <c r="A135" s="2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10"/>
      <c r="M135" s="10"/>
      <c r="N135" s="10"/>
    </row>
    <row r="136" spans="1:14" x14ac:dyDescent="0.3">
      <c r="A136" s="2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10"/>
      <c r="M136" s="10"/>
      <c r="N136" s="10"/>
    </row>
    <row r="137" spans="1:14" x14ac:dyDescent="0.3">
      <c r="A137" s="2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10"/>
      <c r="M137" s="10"/>
      <c r="N137" s="10"/>
    </row>
    <row r="138" spans="1:14" x14ac:dyDescent="0.3">
      <c r="A138" s="2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10"/>
      <c r="M138" s="10"/>
      <c r="N138" s="10"/>
    </row>
    <row r="139" spans="1:14" x14ac:dyDescent="0.3">
      <c r="A139" s="2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10"/>
      <c r="M139" s="10"/>
      <c r="N139" s="10"/>
    </row>
    <row r="140" spans="1:14" x14ac:dyDescent="0.3">
      <c r="A140" s="2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10"/>
      <c r="M140" s="10"/>
      <c r="N140" s="10"/>
    </row>
    <row r="141" spans="1:14" x14ac:dyDescent="0.3">
      <c r="A141" s="2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10"/>
      <c r="M141" s="10"/>
      <c r="N141" s="10"/>
    </row>
    <row r="142" spans="1:14" x14ac:dyDescent="0.3">
      <c r="A142" s="2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10"/>
      <c r="M142" s="10"/>
      <c r="N142" s="10"/>
    </row>
    <row r="143" spans="1:14" x14ac:dyDescent="0.3">
      <c r="A143" s="2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10"/>
      <c r="M143" s="10"/>
      <c r="N143" s="10"/>
    </row>
    <row r="144" spans="1:14" x14ac:dyDescent="0.3">
      <c r="A144" s="2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10"/>
      <c r="M144" s="10"/>
      <c r="N144" s="10"/>
    </row>
    <row r="145" spans="1:14" x14ac:dyDescent="0.3">
      <c r="A145" s="2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10"/>
      <c r="M145" s="10"/>
      <c r="N145" s="10"/>
    </row>
    <row r="146" spans="1:14" x14ac:dyDescent="0.3">
      <c r="A146" s="2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10"/>
      <c r="M146" s="10"/>
      <c r="N146" s="10"/>
    </row>
    <row r="147" spans="1:14" x14ac:dyDescent="0.3">
      <c r="A147" s="2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10"/>
      <c r="M147" s="10"/>
      <c r="N147" s="10"/>
    </row>
    <row r="148" spans="1:14" x14ac:dyDescent="0.3">
      <c r="A148" s="2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10"/>
      <c r="M148" s="10"/>
      <c r="N148" s="10"/>
    </row>
    <row r="149" spans="1:14" x14ac:dyDescent="0.3">
      <c r="A149" s="2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10"/>
      <c r="M149" s="10"/>
      <c r="N149" s="10"/>
    </row>
    <row r="150" spans="1:14" x14ac:dyDescent="0.3">
      <c r="A150" s="2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10"/>
      <c r="M150" s="10"/>
      <c r="N150" s="10"/>
    </row>
    <row r="151" spans="1:14" x14ac:dyDescent="0.3">
      <c r="A151" s="2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10"/>
      <c r="M151" s="10"/>
      <c r="N151" s="10"/>
    </row>
    <row r="152" spans="1:14" x14ac:dyDescent="0.3">
      <c r="A152" s="2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10"/>
      <c r="M152" s="10"/>
      <c r="N152" s="10"/>
    </row>
    <row r="153" spans="1:14" x14ac:dyDescent="0.3">
      <c r="A153" s="2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10"/>
      <c r="M153" s="10"/>
      <c r="N153" s="10"/>
    </row>
    <row r="154" spans="1:14" x14ac:dyDescent="0.3">
      <c r="A154" s="2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10"/>
      <c r="M154" s="10"/>
      <c r="N154" s="10"/>
    </row>
    <row r="155" spans="1:14" x14ac:dyDescent="0.3">
      <c r="A155" s="2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10"/>
      <c r="M155" s="10"/>
      <c r="N155" s="10"/>
    </row>
    <row r="156" spans="1:14" x14ac:dyDescent="0.3">
      <c r="A156" s="2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10"/>
      <c r="M156" s="10"/>
      <c r="N156" s="10"/>
    </row>
    <row r="157" spans="1:14" x14ac:dyDescent="0.3">
      <c r="A157" s="2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10"/>
      <c r="M157" s="10"/>
      <c r="N157" s="10"/>
    </row>
    <row r="158" spans="1:14" x14ac:dyDescent="0.3">
      <c r="A158" s="2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10"/>
      <c r="M158" s="10"/>
      <c r="N158" s="10"/>
    </row>
    <row r="159" spans="1:14" x14ac:dyDescent="0.3">
      <c r="A159" s="2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10"/>
      <c r="M159" s="10"/>
      <c r="N159" s="10"/>
    </row>
    <row r="160" spans="1:14" x14ac:dyDescent="0.3">
      <c r="A160" s="2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10"/>
      <c r="M160" s="10"/>
      <c r="N160" s="10"/>
    </row>
    <row r="161" spans="1:14" x14ac:dyDescent="0.3">
      <c r="A161" s="2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10"/>
      <c r="M161" s="10"/>
      <c r="N161" s="10"/>
    </row>
    <row r="162" spans="1:14" x14ac:dyDescent="0.3">
      <c r="A162" s="2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10"/>
      <c r="M162" s="10"/>
      <c r="N162" s="10"/>
    </row>
    <row r="163" spans="1:14" x14ac:dyDescent="0.3">
      <c r="A163" s="2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10"/>
      <c r="M163" s="10"/>
      <c r="N163" s="10"/>
    </row>
    <row r="164" spans="1:14" x14ac:dyDescent="0.3">
      <c r="A164" s="2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10"/>
      <c r="M164" s="10"/>
      <c r="N164" s="10"/>
    </row>
    <row r="165" spans="1:14" x14ac:dyDescent="0.3">
      <c r="A165" s="2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10"/>
      <c r="M165" s="10"/>
      <c r="N165" s="10"/>
    </row>
    <row r="166" spans="1:14" x14ac:dyDescent="0.3">
      <c r="A166" s="2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10"/>
      <c r="M166" s="10"/>
      <c r="N166" s="10"/>
    </row>
    <row r="167" spans="1:14" x14ac:dyDescent="0.3">
      <c r="A167" s="2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10"/>
      <c r="M167" s="10"/>
      <c r="N167" s="10"/>
    </row>
    <row r="168" spans="1:14" x14ac:dyDescent="0.3">
      <c r="A168" s="2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10"/>
      <c r="M168" s="10"/>
      <c r="N168" s="10"/>
    </row>
    <row r="169" spans="1:14" x14ac:dyDescent="0.3">
      <c r="A169" s="2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10"/>
      <c r="M169" s="10"/>
      <c r="N169" s="10"/>
    </row>
    <row r="170" spans="1:14" x14ac:dyDescent="0.3">
      <c r="A170" s="2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10"/>
      <c r="M170" s="10"/>
      <c r="N170" s="10"/>
    </row>
    <row r="171" spans="1:14" x14ac:dyDescent="0.3">
      <c r="A171" s="2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10"/>
      <c r="M171" s="10"/>
      <c r="N171" s="10"/>
    </row>
    <row r="172" spans="1:14" x14ac:dyDescent="0.3">
      <c r="A172" s="2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10"/>
      <c r="M172" s="10"/>
      <c r="N172" s="10"/>
    </row>
    <row r="173" spans="1:14" x14ac:dyDescent="0.3">
      <c r="A173" s="2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10"/>
      <c r="M173" s="10"/>
      <c r="N173" s="10"/>
    </row>
    <row r="174" spans="1:14" x14ac:dyDescent="0.3">
      <c r="A174" s="2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10"/>
      <c r="M174" s="10"/>
      <c r="N174" s="10"/>
    </row>
    <row r="175" spans="1:14" x14ac:dyDescent="0.3">
      <c r="A175" s="2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10"/>
      <c r="M175" s="10"/>
      <c r="N175" s="10"/>
    </row>
    <row r="176" spans="1:14" x14ac:dyDescent="0.3">
      <c r="A176" s="2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10"/>
      <c r="M176" s="10"/>
      <c r="N176" s="10"/>
    </row>
    <row r="177" spans="1:14" x14ac:dyDescent="0.3">
      <c r="A177" s="2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10"/>
      <c r="M177" s="10"/>
      <c r="N177" s="10"/>
    </row>
    <row r="178" spans="1:14" x14ac:dyDescent="0.3">
      <c r="A178" s="2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10"/>
      <c r="M178" s="10"/>
      <c r="N178" s="10"/>
    </row>
    <row r="179" spans="1:14" x14ac:dyDescent="0.3">
      <c r="A179" s="2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10"/>
      <c r="M179" s="10"/>
      <c r="N179" s="10"/>
    </row>
    <row r="180" spans="1:14" x14ac:dyDescent="0.3">
      <c r="A180" s="2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10"/>
      <c r="M180" s="10"/>
      <c r="N180" s="10"/>
    </row>
    <row r="181" spans="1:14" x14ac:dyDescent="0.3">
      <c r="A181" s="2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10"/>
      <c r="M181" s="10"/>
      <c r="N181" s="10"/>
    </row>
    <row r="182" spans="1:14" x14ac:dyDescent="0.3">
      <c r="A182" s="2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10"/>
      <c r="M182" s="10"/>
      <c r="N182" s="10"/>
    </row>
    <row r="183" spans="1:14" x14ac:dyDescent="0.3">
      <c r="A183" s="2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10"/>
      <c r="M183" s="10"/>
      <c r="N183" s="10"/>
    </row>
    <row r="184" spans="1:14" x14ac:dyDescent="0.3">
      <c r="A184" s="2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10"/>
      <c r="M184" s="10"/>
      <c r="N184" s="10"/>
    </row>
    <row r="185" spans="1:14" x14ac:dyDescent="0.3">
      <c r="A185" s="2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10"/>
      <c r="M185" s="10"/>
      <c r="N185" s="10"/>
    </row>
    <row r="186" spans="1:14" x14ac:dyDescent="0.3">
      <c r="A186" s="2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10"/>
      <c r="M186" s="10"/>
      <c r="N186" s="10"/>
    </row>
    <row r="187" spans="1:14" x14ac:dyDescent="0.3">
      <c r="A187" s="2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10"/>
      <c r="M187" s="10"/>
      <c r="N187" s="10"/>
    </row>
    <row r="188" spans="1:14" x14ac:dyDescent="0.3">
      <c r="A188" s="2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10"/>
      <c r="M188" s="10"/>
      <c r="N188" s="10"/>
    </row>
    <row r="189" spans="1:14" x14ac:dyDescent="0.3">
      <c r="A189" s="2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10"/>
      <c r="M189" s="10"/>
      <c r="N189" s="10"/>
    </row>
    <row r="190" spans="1:14" x14ac:dyDescent="0.3">
      <c r="A190" s="2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10"/>
      <c r="M190" s="10"/>
      <c r="N190" s="10"/>
    </row>
    <row r="191" spans="1:14" x14ac:dyDescent="0.3">
      <c r="A191" s="2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10"/>
      <c r="M191" s="10"/>
      <c r="N191" s="10"/>
    </row>
    <row r="192" spans="1:14" x14ac:dyDescent="0.3">
      <c r="A192" s="2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10"/>
      <c r="M192" s="10"/>
      <c r="N192" s="10"/>
    </row>
    <row r="193" spans="1:14" x14ac:dyDescent="0.3">
      <c r="A193" s="2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10"/>
      <c r="M193" s="10"/>
      <c r="N193" s="10"/>
    </row>
    <row r="194" spans="1:14" x14ac:dyDescent="0.3">
      <c r="A194" s="2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10"/>
      <c r="M194" s="10"/>
      <c r="N194" s="10"/>
    </row>
    <row r="195" spans="1:14" x14ac:dyDescent="0.3">
      <c r="A195" s="2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10"/>
      <c r="M195" s="10"/>
      <c r="N195" s="10"/>
    </row>
    <row r="196" spans="1:14" x14ac:dyDescent="0.3">
      <c r="A196" s="2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10"/>
      <c r="M196" s="10"/>
      <c r="N196" s="10"/>
    </row>
    <row r="197" spans="1:14" x14ac:dyDescent="0.3">
      <c r="A197" s="2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10"/>
      <c r="M197" s="10"/>
      <c r="N197" s="10"/>
    </row>
    <row r="198" spans="1:14" x14ac:dyDescent="0.3">
      <c r="A198" s="2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10"/>
      <c r="M198" s="10"/>
      <c r="N198" s="10"/>
    </row>
    <row r="199" spans="1:14" x14ac:dyDescent="0.3">
      <c r="A199" s="2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10"/>
      <c r="M199" s="10"/>
      <c r="N199" s="10"/>
    </row>
    <row r="200" spans="1:14" x14ac:dyDescent="0.3">
      <c r="A200" s="2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10"/>
      <c r="M200" s="10"/>
      <c r="N200" s="10"/>
    </row>
    <row r="201" spans="1:14" x14ac:dyDescent="0.3">
      <c r="A201" s="2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10"/>
      <c r="M201" s="10"/>
      <c r="N201" s="10"/>
    </row>
    <row r="202" spans="1:14" x14ac:dyDescent="0.3">
      <c r="A202" s="2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10"/>
      <c r="M202" s="10"/>
      <c r="N202" s="10"/>
    </row>
    <row r="203" spans="1:14" x14ac:dyDescent="0.3">
      <c r="A203" s="2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10"/>
      <c r="M203" s="10"/>
      <c r="N203" s="10"/>
    </row>
    <row r="204" spans="1:14" x14ac:dyDescent="0.3">
      <c r="A204" s="2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10"/>
      <c r="M204" s="10"/>
      <c r="N204" s="10"/>
    </row>
    <row r="205" spans="1:14" x14ac:dyDescent="0.3">
      <c r="A205" s="2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10"/>
      <c r="M205" s="10"/>
      <c r="N205" s="10"/>
    </row>
    <row r="206" spans="1:14" x14ac:dyDescent="0.3">
      <c r="A206" s="2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10"/>
      <c r="M206" s="10"/>
      <c r="N206" s="10"/>
    </row>
    <row r="207" spans="1:14" x14ac:dyDescent="0.3">
      <c r="A207" s="2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10"/>
      <c r="M207" s="10"/>
      <c r="N207" s="10"/>
    </row>
    <row r="208" spans="1:14" x14ac:dyDescent="0.3">
      <c r="A208" s="2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10"/>
      <c r="M208" s="10"/>
      <c r="N208" s="10"/>
    </row>
    <row r="209" spans="1:14" x14ac:dyDescent="0.3">
      <c r="A209" s="2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10"/>
      <c r="M209" s="10"/>
      <c r="N209" s="10"/>
    </row>
    <row r="210" spans="1:14" x14ac:dyDescent="0.3">
      <c r="A210" s="2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10"/>
      <c r="M210" s="10"/>
      <c r="N210" s="10"/>
    </row>
    <row r="211" spans="1:14" x14ac:dyDescent="0.3">
      <c r="A211" s="2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10"/>
      <c r="M211" s="10"/>
      <c r="N211" s="10"/>
    </row>
    <row r="212" spans="1:14" x14ac:dyDescent="0.3">
      <c r="A212" s="2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10"/>
      <c r="M212" s="10"/>
      <c r="N212" s="10"/>
    </row>
    <row r="213" spans="1:14" x14ac:dyDescent="0.3">
      <c r="A213" s="2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10"/>
      <c r="M213" s="10"/>
      <c r="N213" s="10"/>
    </row>
    <row r="214" spans="1:14" x14ac:dyDescent="0.3">
      <c r="A214" s="21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10"/>
      <c r="M214" s="10"/>
      <c r="N214" s="10"/>
    </row>
    <row r="215" spans="1:14" x14ac:dyDescent="0.3">
      <c r="A215" s="2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10"/>
      <c r="M215" s="10"/>
      <c r="N215" s="10"/>
    </row>
    <row r="216" spans="1:14" x14ac:dyDescent="0.3">
      <c r="A216" s="21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10"/>
      <c r="M216" s="10"/>
      <c r="N216" s="10"/>
    </row>
    <row r="217" spans="1:14" x14ac:dyDescent="0.3">
      <c r="A217" s="21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10"/>
      <c r="M217" s="10"/>
      <c r="N217" s="10"/>
    </row>
    <row r="218" spans="1:14" x14ac:dyDescent="0.3">
      <c r="A218" s="21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10"/>
      <c r="M218" s="10"/>
      <c r="N218" s="10"/>
    </row>
    <row r="219" spans="1:14" x14ac:dyDescent="0.3">
      <c r="A219" s="2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10"/>
      <c r="M219" s="10"/>
      <c r="N219" s="10"/>
    </row>
    <row r="220" spans="1:14" x14ac:dyDescent="0.3">
      <c r="A220" s="21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10"/>
      <c r="M220" s="10"/>
      <c r="N220" s="10"/>
    </row>
    <row r="221" spans="1:14" x14ac:dyDescent="0.3">
      <c r="A221" s="21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10"/>
      <c r="M221" s="10"/>
      <c r="N221" s="10"/>
    </row>
    <row r="222" spans="1:14" x14ac:dyDescent="0.3">
      <c r="A222" s="21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10"/>
      <c r="M222" s="10"/>
      <c r="N222" s="10"/>
    </row>
    <row r="223" spans="1:14" x14ac:dyDescent="0.3">
      <c r="A223" s="21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10"/>
      <c r="M223" s="10"/>
      <c r="N223" s="10"/>
    </row>
    <row r="224" spans="1:14" x14ac:dyDescent="0.3">
      <c r="A224" s="21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10"/>
      <c r="M224" s="10"/>
      <c r="N224" s="10"/>
    </row>
    <row r="225" spans="1:14" x14ac:dyDescent="0.3">
      <c r="A225" s="21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10"/>
      <c r="M225" s="10"/>
      <c r="N225" s="10"/>
    </row>
    <row r="226" spans="1:14" x14ac:dyDescent="0.3">
      <c r="A226" s="21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10"/>
      <c r="M226" s="10"/>
      <c r="N226" s="10"/>
    </row>
    <row r="227" spans="1:14" x14ac:dyDescent="0.3">
      <c r="A227" s="21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10"/>
      <c r="M227" s="10"/>
      <c r="N227" s="10"/>
    </row>
    <row r="228" spans="1:14" x14ac:dyDescent="0.3">
      <c r="A228" s="21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10"/>
      <c r="M228" s="10"/>
      <c r="N228" s="10"/>
    </row>
    <row r="229" spans="1:14" x14ac:dyDescent="0.3">
      <c r="A229" s="2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10"/>
      <c r="M229" s="10"/>
      <c r="N229" s="10"/>
    </row>
    <row r="230" spans="1:14" x14ac:dyDescent="0.3">
      <c r="A230" s="21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10"/>
      <c r="M230" s="10"/>
      <c r="N230" s="10"/>
    </row>
    <row r="231" spans="1:14" x14ac:dyDescent="0.3">
      <c r="A231" s="21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10"/>
      <c r="M231" s="10"/>
      <c r="N231" s="10"/>
    </row>
    <row r="232" spans="1:14" x14ac:dyDescent="0.3">
      <c r="A232" s="21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10"/>
      <c r="M232" s="10"/>
      <c r="N232" s="10"/>
    </row>
    <row r="233" spans="1:14" x14ac:dyDescent="0.3">
      <c r="A233" s="21"/>
      <c r="B233" s="29">
        <f>+COUNTA(C6:C110)</f>
        <v>51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10"/>
      <c r="M233" s="10"/>
      <c r="N233" s="10"/>
    </row>
    <row r="234" spans="1:14" x14ac:dyDescent="0.3">
      <c r="A234" s="21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10"/>
      <c r="M234" s="10"/>
      <c r="N234" s="10"/>
    </row>
    <row r="235" spans="1:14" x14ac:dyDescent="0.3">
      <c r="A235" s="21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10"/>
      <c r="M235" s="10"/>
      <c r="N235" s="10"/>
    </row>
    <row r="236" spans="1:14" x14ac:dyDescent="0.3">
      <c r="A236" s="21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10"/>
      <c r="M236" s="10"/>
      <c r="N236" s="10"/>
    </row>
    <row r="237" spans="1:14" x14ac:dyDescent="0.3">
      <c r="A237" s="21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10"/>
      <c r="M237" s="10"/>
      <c r="N237" s="10"/>
    </row>
    <row r="238" spans="1:14" x14ac:dyDescent="0.3">
      <c r="A238" s="21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10"/>
      <c r="M238" s="10"/>
      <c r="N238" s="10"/>
    </row>
    <row r="239" spans="1:14" x14ac:dyDescent="0.3">
      <c r="A239" s="2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10"/>
      <c r="M239" s="10"/>
      <c r="N239" s="10"/>
    </row>
    <row r="240" spans="1:14" x14ac:dyDescent="0.3">
      <c r="A240" s="21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10"/>
      <c r="M240" s="10"/>
      <c r="N240" s="10"/>
    </row>
    <row r="241" spans="1:14" x14ac:dyDescent="0.3">
      <c r="A241" s="21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10"/>
      <c r="M241" s="10"/>
      <c r="N241" s="10"/>
    </row>
    <row r="242" spans="1:14" x14ac:dyDescent="0.3">
      <c r="A242" s="21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10"/>
      <c r="M242" s="10"/>
      <c r="N242" s="10"/>
    </row>
    <row r="243" spans="1:14" x14ac:dyDescent="0.3">
      <c r="A243" s="21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10"/>
      <c r="M243" s="10"/>
      <c r="N243" s="10"/>
    </row>
    <row r="244" spans="1:14" x14ac:dyDescent="0.3">
      <c r="A244" s="21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10"/>
      <c r="M244" s="10"/>
      <c r="N244" s="10"/>
    </row>
    <row r="245" spans="1:14" x14ac:dyDescent="0.3">
      <c r="A245" s="21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10"/>
      <c r="M245" s="10"/>
      <c r="N245" s="10"/>
    </row>
    <row r="246" spans="1:14" x14ac:dyDescent="0.3">
      <c r="A246" s="21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10"/>
      <c r="M246" s="10"/>
      <c r="N246" s="10"/>
    </row>
    <row r="247" spans="1:14" x14ac:dyDescent="0.3">
      <c r="A247" s="21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10"/>
      <c r="M247" s="10"/>
      <c r="N247" s="10"/>
    </row>
    <row r="248" spans="1:14" x14ac:dyDescent="0.3">
      <c r="A248" s="21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10"/>
      <c r="M248" s="10"/>
      <c r="N248" s="10"/>
    </row>
    <row r="249" spans="1:14" x14ac:dyDescent="0.3">
      <c r="A249" s="2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10"/>
      <c r="M249" s="10"/>
      <c r="N249" s="10"/>
    </row>
    <row r="250" spans="1:14" x14ac:dyDescent="0.3">
      <c r="A250" s="21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10"/>
      <c r="M250" s="10"/>
      <c r="N250" s="10"/>
    </row>
    <row r="251" spans="1:14" x14ac:dyDescent="0.3">
      <c r="A251" s="21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10"/>
      <c r="M251" s="10"/>
      <c r="N251" s="10"/>
    </row>
    <row r="252" spans="1:14" x14ac:dyDescent="0.3">
      <c r="A252" s="21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10"/>
      <c r="M252" s="10"/>
      <c r="N252" s="10"/>
    </row>
    <row r="253" spans="1:14" x14ac:dyDescent="0.3">
      <c r="A253" s="21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10"/>
      <c r="M253" s="10"/>
      <c r="N253" s="10"/>
    </row>
    <row r="254" spans="1:14" x14ac:dyDescent="0.3">
      <c r="A254" s="21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10"/>
      <c r="M254" s="10"/>
      <c r="N254" s="10"/>
    </row>
    <row r="255" spans="1:14" x14ac:dyDescent="0.3">
      <c r="A255" s="21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10"/>
      <c r="M255" s="10"/>
      <c r="N255" s="10"/>
    </row>
    <row r="256" spans="1:14" x14ac:dyDescent="0.3">
      <c r="A256" s="21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10"/>
      <c r="M256" s="10"/>
      <c r="N256" s="10"/>
    </row>
    <row r="257" spans="1:14" x14ac:dyDescent="0.3">
      <c r="A257" s="21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10"/>
      <c r="M257" s="10"/>
      <c r="N257" s="10"/>
    </row>
    <row r="258" spans="1:14" x14ac:dyDescent="0.3">
      <c r="A258" s="21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10"/>
      <c r="M258" s="10"/>
      <c r="N258" s="10"/>
    </row>
    <row r="259" spans="1:14" x14ac:dyDescent="0.3">
      <c r="A259" s="21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10"/>
      <c r="M259" s="10"/>
      <c r="N259" s="10"/>
    </row>
    <row r="260" spans="1:14" x14ac:dyDescent="0.3">
      <c r="A260" s="21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10"/>
      <c r="M260" s="10"/>
      <c r="N260" s="10"/>
    </row>
    <row r="261" spans="1:14" x14ac:dyDescent="0.3">
      <c r="A261" s="21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10"/>
      <c r="M261" s="10"/>
      <c r="N261" s="10"/>
    </row>
    <row r="262" spans="1:14" x14ac:dyDescent="0.3">
      <c r="A262" s="21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10"/>
      <c r="M262" s="10"/>
      <c r="N262" s="10"/>
    </row>
    <row r="263" spans="1:14" x14ac:dyDescent="0.3">
      <c r="A263" s="21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10"/>
      <c r="M263" s="10"/>
      <c r="N263" s="10"/>
    </row>
    <row r="264" spans="1:14" x14ac:dyDescent="0.3">
      <c r="A264" s="21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10"/>
      <c r="M264" s="10"/>
      <c r="N264" s="10"/>
    </row>
    <row r="265" spans="1:14" x14ac:dyDescent="0.3">
      <c r="A265" s="21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10"/>
      <c r="M265" s="10"/>
      <c r="N265" s="10"/>
    </row>
    <row r="266" spans="1:14" x14ac:dyDescent="0.3">
      <c r="A266" s="21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10"/>
      <c r="M266" s="10"/>
      <c r="N266" s="10"/>
    </row>
    <row r="267" spans="1:14" x14ac:dyDescent="0.3">
      <c r="A267" s="21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10"/>
      <c r="M267" s="10"/>
      <c r="N267" s="10"/>
    </row>
    <row r="268" spans="1:14" x14ac:dyDescent="0.3">
      <c r="A268" s="21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10"/>
      <c r="M268" s="10"/>
      <c r="N268" s="10"/>
    </row>
    <row r="269" spans="1:14" x14ac:dyDescent="0.3">
      <c r="A269" s="21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10"/>
      <c r="M269" s="10"/>
      <c r="N269" s="10"/>
    </row>
    <row r="270" spans="1:14" x14ac:dyDescent="0.3">
      <c r="A270" s="21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10"/>
      <c r="M270" s="10"/>
      <c r="N270" s="10"/>
    </row>
    <row r="271" spans="1:14" x14ac:dyDescent="0.3">
      <c r="A271" s="21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10"/>
      <c r="M271" s="10"/>
      <c r="N271" s="10"/>
    </row>
    <row r="272" spans="1:14" x14ac:dyDescent="0.3">
      <c r="A272" s="21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10"/>
      <c r="M272" s="10"/>
      <c r="N272" s="10"/>
    </row>
    <row r="273" spans="1:14" x14ac:dyDescent="0.3">
      <c r="A273" s="21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10"/>
      <c r="M273" s="10"/>
      <c r="N273" s="10"/>
    </row>
    <row r="274" spans="1:14" x14ac:dyDescent="0.3">
      <c r="A274" s="21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10"/>
      <c r="M274" s="10"/>
      <c r="N274" s="10"/>
    </row>
    <row r="275" spans="1:14" x14ac:dyDescent="0.3">
      <c r="A275" s="21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10"/>
      <c r="M275" s="10"/>
      <c r="N275" s="10"/>
    </row>
    <row r="276" spans="1:14" x14ac:dyDescent="0.3">
      <c r="A276" s="21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10"/>
      <c r="M276" s="10"/>
      <c r="N276" s="10"/>
    </row>
    <row r="277" spans="1:14" x14ac:dyDescent="0.3">
      <c r="A277" s="21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10"/>
      <c r="M277" s="10"/>
      <c r="N277" s="10"/>
    </row>
    <row r="278" spans="1:14" x14ac:dyDescent="0.3">
      <c r="A278" s="21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10"/>
      <c r="M278" s="10"/>
      <c r="N278" s="10"/>
    </row>
    <row r="279" spans="1:14" x14ac:dyDescent="0.3">
      <c r="A279" s="21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10"/>
      <c r="M279" s="10"/>
      <c r="N279" s="10"/>
    </row>
    <row r="280" spans="1:14" x14ac:dyDescent="0.3">
      <c r="A280" s="21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10"/>
      <c r="M280" s="10"/>
      <c r="N280" s="10"/>
    </row>
    <row r="281" spans="1:14" x14ac:dyDescent="0.3">
      <c r="A281" s="21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10"/>
      <c r="M281" s="10"/>
      <c r="N281" s="10"/>
    </row>
    <row r="282" spans="1:14" x14ac:dyDescent="0.3">
      <c r="A282" s="21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10"/>
      <c r="M282" s="10"/>
      <c r="N282" s="10"/>
    </row>
    <row r="283" spans="1:14" x14ac:dyDescent="0.3">
      <c r="A283" s="2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10"/>
      <c r="M283" s="10"/>
      <c r="N283" s="10"/>
    </row>
    <row r="284" spans="1:14" x14ac:dyDescent="0.3">
      <c r="A284" s="21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10"/>
      <c r="M284" s="10"/>
      <c r="N284" s="10"/>
    </row>
    <row r="285" spans="1:14" x14ac:dyDescent="0.3">
      <c r="A285" s="2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10"/>
      <c r="M285" s="10"/>
      <c r="N285" s="10"/>
    </row>
    <row r="286" spans="1:14" x14ac:dyDescent="0.3">
      <c r="A286" s="21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10"/>
      <c r="M286" s="10"/>
      <c r="N286" s="10"/>
    </row>
    <row r="287" spans="1:14" x14ac:dyDescent="0.3">
      <c r="A287" s="2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10"/>
      <c r="M287" s="10"/>
      <c r="N287" s="10"/>
    </row>
    <row r="288" spans="1:14" x14ac:dyDescent="0.3">
      <c r="A288" s="21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10"/>
      <c r="M288" s="10"/>
      <c r="N288" s="10"/>
    </row>
    <row r="289" spans="1:14" x14ac:dyDescent="0.3">
      <c r="A289" s="2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10"/>
      <c r="M289" s="10"/>
      <c r="N289" s="10"/>
    </row>
    <row r="290" spans="1:14" x14ac:dyDescent="0.3">
      <c r="A290" s="21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10"/>
      <c r="M290" s="10"/>
      <c r="N290" s="10"/>
    </row>
    <row r="291" spans="1:14" x14ac:dyDescent="0.3">
      <c r="A291" s="2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10"/>
      <c r="M291" s="10"/>
      <c r="N291" s="10"/>
    </row>
    <row r="292" spans="1:14" x14ac:dyDescent="0.3">
      <c r="A292" s="21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10"/>
      <c r="M292" s="10"/>
      <c r="N292" s="10"/>
    </row>
    <row r="293" spans="1:14" x14ac:dyDescent="0.3">
      <c r="A293" s="2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10"/>
      <c r="M293" s="10"/>
      <c r="N293" s="10"/>
    </row>
    <row r="294" spans="1:14" x14ac:dyDescent="0.3">
      <c r="A294" s="21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10"/>
      <c r="M294" s="10"/>
      <c r="N294" s="10"/>
    </row>
    <row r="295" spans="1:14" x14ac:dyDescent="0.3">
      <c r="A295" s="21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10"/>
      <c r="M295" s="10"/>
      <c r="N295" s="10"/>
    </row>
    <row r="296" spans="1:14" x14ac:dyDescent="0.3">
      <c r="A296" s="21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10"/>
      <c r="M296" s="10"/>
      <c r="N296" s="10"/>
    </row>
    <row r="297" spans="1:14" x14ac:dyDescent="0.3">
      <c r="A297" s="2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10"/>
      <c r="M297" s="10"/>
      <c r="N297" s="10"/>
    </row>
    <row r="298" spans="1:14" x14ac:dyDescent="0.3">
      <c r="A298" s="21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10"/>
      <c r="M298" s="10"/>
      <c r="N298" s="10"/>
    </row>
    <row r="299" spans="1:14" x14ac:dyDescent="0.3">
      <c r="A299" s="2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10"/>
      <c r="M299" s="10"/>
      <c r="N299" s="10"/>
    </row>
    <row r="300" spans="1:14" x14ac:dyDescent="0.3">
      <c r="A300" s="21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10"/>
      <c r="M300" s="10"/>
      <c r="N300" s="10"/>
    </row>
    <row r="301" spans="1:14" x14ac:dyDescent="0.3">
      <c r="A301" s="2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10"/>
      <c r="M301" s="10"/>
      <c r="N301" s="10"/>
    </row>
    <row r="302" spans="1:14" x14ac:dyDescent="0.3">
      <c r="A302" s="21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10"/>
      <c r="M302" s="10"/>
      <c r="N302" s="10"/>
    </row>
    <row r="303" spans="1:14" x14ac:dyDescent="0.3">
      <c r="A303" s="2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10"/>
      <c r="M303" s="10"/>
      <c r="N303" s="10"/>
    </row>
    <row r="304" spans="1:14" x14ac:dyDescent="0.3">
      <c r="A304" s="21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10"/>
      <c r="M304" s="10"/>
      <c r="N304" s="10"/>
    </row>
    <row r="305" spans="1:14" x14ac:dyDescent="0.3">
      <c r="A305" s="2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10"/>
      <c r="M305" s="10"/>
      <c r="N305" s="10"/>
    </row>
    <row r="306" spans="1:14" x14ac:dyDescent="0.3">
      <c r="A306" s="21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10"/>
      <c r="M306" s="10"/>
      <c r="N306" s="10"/>
    </row>
    <row r="307" spans="1:14" x14ac:dyDescent="0.3">
      <c r="A307" s="2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10"/>
      <c r="M307" s="10"/>
      <c r="N307" s="10"/>
    </row>
    <row r="308" spans="1:14" x14ac:dyDescent="0.3">
      <c r="A308" s="21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10"/>
      <c r="M308" s="10"/>
      <c r="N308" s="10"/>
    </row>
    <row r="309" spans="1:14" x14ac:dyDescent="0.3">
      <c r="A309" s="2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10"/>
      <c r="M309" s="10"/>
      <c r="N309" s="10"/>
    </row>
    <row r="310" spans="1:14" x14ac:dyDescent="0.3">
      <c r="A310" s="21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10"/>
      <c r="M310" s="10"/>
      <c r="N310" s="10"/>
    </row>
    <row r="311" spans="1:14" x14ac:dyDescent="0.3">
      <c r="A311" s="2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10"/>
      <c r="M311" s="10"/>
      <c r="N311" s="10"/>
    </row>
    <row r="312" spans="1:14" x14ac:dyDescent="0.3">
      <c r="A312" s="21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10"/>
      <c r="M312" s="10"/>
      <c r="N312" s="10"/>
    </row>
    <row r="313" spans="1:14" x14ac:dyDescent="0.3">
      <c r="A313" s="2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10"/>
      <c r="M313" s="10"/>
      <c r="N313" s="10"/>
    </row>
    <row r="314" spans="1:14" x14ac:dyDescent="0.3">
      <c r="A314" s="21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10"/>
      <c r="M314" s="10"/>
      <c r="N314" s="10"/>
    </row>
    <row r="315" spans="1:14" x14ac:dyDescent="0.3">
      <c r="A315" s="2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10"/>
      <c r="M315" s="10"/>
      <c r="N315" s="10"/>
    </row>
    <row r="316" spans="1:14" x14ac:dyDescent="0.3">
      <c r="A316" s="21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10"/>
      <c r="M316" s="10"/>
      <c r="N316" s="10"/>
    </row>
    <row r="317" spans="1:14" x14ac:dyDescent="0.3">
      <c r="A317" s="2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10"/>
      <c r="M317" s="10"/>
      <c r="N317" s="10"/>
    </row>
    <row r="318" spans="1:14" x14ac:dyDescent="0.3">
      <c r="A318" s="21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10"/>
      <c r="M318" s="10"/>
      <c r="N318" s="10"/>
    </row>
    <row r="319" spans="1:14" x14ac:dyDescent="0.3">
      <c r="A319" s="2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10"/>
      <c r="M319" s="10"/>
      <c r="N319" s="10"/>
    </row>
    <row r="320" spans="1:14" x14ac:dyDescent="0.3">
      <c r="A320" s="21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10"/>
      <c r="M320" s="10"/>
      <c r="N320" s="10"/>
    </row>
    <row r="321" spans="1:14" x14ac:dyDescent="0.3">
      <c r="A321" s="2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10"/>
      <c r="M321" s="10"/>
      <c r="N321" s="10"/>
    </row>
    <row r="322" spans="1:14" x14ac:dyDescent="0.3">
      <c r="A322" s="21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10"/>
      <c r="M322" s="10"/>
      <c r="N322" s="10"/>
    </row>
    <row r="323" spans="1:14" x14ac:dyDescent="0.3">
      <c r="A323" s="2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10"/>
      <c r="M323" s="10"/>
      <c r="N323" s="10"/>
    </row>
    <row r="324" spans="1:14" x14ac:dyDescent="0.3">
      <c r="A324" s="21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10"/>
      <c r="M324" s="10"/>
      <c r="N324" s="10"/>
    </row>
    <row r="325" spans="1:14" x14ac:dyDescent="0.3">
      <c r="A325" s="2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10"/>
      <c r="M325" s="10"/>
      <c r="N325" s="10"/>
    </row>
    <row r="326" spans="1:14" x14ac:dyDescent="0.3">
      <c r="A326" s="21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10"/>
      <c r="M326" s="10"/>
      <c r="N326" s="10"/>
    </row>
    <row r="327" spans="1:14" x14ac:dyDescent="0.3">
      <c r="A327" s="2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10"/>
      <c r="M327" s="10"/>
      <c r="N327" s="10"/>
    </row>
    <row r="328" spans="1:14" x14ac:dyDescent="0.3">
      <c r="A328" s="21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10"/>
      <c r="M328" s="10"/>
      <c r="N328" s="10"/>
    </row>
    <row r="329" spans="1:14" x14ac:dyDescent="0.3">
      <c r="A329" s="2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10"/>
      <c r="M329" s="10"/>
      <c r="N329" s="10"/>
    </row>
    <row r="330" spans="1:14" x14ac:dyDescent="0.3">
      <c r="A330" s="21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10"/>
      <c r="M330" s="10"/>
      <c r="N330" s="10"/>
    </row>
    <row r="331" spans="1:14" x14ac:dyDescent="0.3">
      <c r="A331" s="2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10"/>
      <c r="M331" s="10"/>
      <c r="N331" s="10"/>
    </row>
    <row r="332" spans="1:14" x14ac:dyDescent="0.3">
      <c r="A332" s="21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10"/>
      <c r="M332" s="10"/>
      <c r="N332" s="10"/>
    </row>
    <row r="333" spans="1:14" x14ac:dyDescent="0.3">
      <c r="A333" s="2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10"/>
      <c r="M333" s="10"/>
      <c r="N333" s="10"/>
    </row>
    <row r="334" spans="1:14" x14ac:dyDescent="0.3">
      <c r="A334" s="21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10"/>
      <c r="M334" s="10"/>
      <c r="N334" s="10"/>
    </row>
    <row r="335" spans="1:14" x14ac:dyDescent="0.3">
      <c r="A335" s="2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10"/>
      <c r="M335" s="10"/>
      <c r="N335" s="10"/>
    </row>
    <row r="336" spans="1:14" x14ac:dyDescent="0.3">
      <c r="A336" s="21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10"/>
      <c r="M336" s="10"/>
      <c r="N336" s="10"/>
    </row>
    <row r="337" spans="1:14" x14ac:dyDescent="0.3">
      <c r="A337" s="2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10"/>
      <c r="M337" s="10"/>
      <c r="N337" s="10"/>
    </row>
    <row r="338" spans="1:14" x14ac:dyDescent="0.3">
      <c r="A338" s="21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10"/>
      <c r="M338" s="10"/>
      <c r="N338" s="10"/>
    </row>
    <row r="339" spans="1:14" x14ac:dyDescent="0.3">
      <c r="A339" s="2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10"/>
      <c r="M339" s="10"/>
      <c r="N339" s="10"/>
    </row>
    <row r="340" spans="1:14" x14ac:dyDescent="0.3">
      <c r="A340" s="21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10"/>
      <c r="M340" s="10"/>
      <c r="N340" s="10"/>
    </row>
    <row r="341" spans="1:14" x14ac:dyDescent="0.3">
      <c r="A341" s="2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10"/>
      <c r="M341" s="10"/>
      <c r="N341" s="10"/>
    </row>
    <row r="342" spans="1:14" x14ac:dyDescent="0.3">
      <c r="A342" s="21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10"/>
      <c r="M342" s="10"/>
      <c r="N342" s="10"/>
    </row>
    <row r="343" spans="1:14" x14ac:dyDescent="0.3">
      <c r="A343" s="2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10"/>
      <c r="M343" s="10"/>
      <c r="N343" s="10"/>
    </row>
    <row r="344" spans="1:14" x14ac:dyDescent="0.3">
      <c r="A344" s="21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10"/>
      <c r="M344" s="10"/>
      <c r="N344" s="10"/>
    </row>
    <row r="345" spans="1:14" x14ac:dyDescent="0.3">
      <c r="A345" s="2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10"/>
      <c r="M345" s="10"/>
      <c r="N345" s="10"/>
    </row>
    <row r="346" spans="1:14" x14ac:dyDescent="0.3">
      <c r="A346" s="21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10"/>
      <c r="M346" s="10"/>
      <c r="N346" s="10"/>
    </row>
    <row r="347" spans="1:14" x14ac:dyDescent="0.3">
      <c r="A347" s="2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10"/>
      <c r="M347" s="10"/>
      <c r="N347" s="10"/>
    </row>
    <row r="348" spans="1:14" x14ac:dyDescent="0.3">
      <c r="A348" s="21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10"/>
      <c r="M348" s="10"/>
      <c r="N348" s="10"/>
    </row>
    <row r="349" spans="1:14" x14ac:dyDescent="0.3">
      <c r="A349" s="2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10"/>
      <c r="M349" s="10"/>
      <c r="N349" s="10"/>
    </row>
    <row r="350" spans="1:14" x14ac:dyDescent="0.3">
      <c r="A350" s="21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10"/>
      <c r="M350" s="10"/>
      <c r="N350" s="10"/>
    </row>
    <row r="351" spans="1:14" x14ac:dyDescent="0.3">
      <c r="A351" s="2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10"/>
      <c r="M351" s="10"/>
      <c r="N351" s="10"/>
    </row>
    <row r="352" spans="1:14" x14ac:dyDescent="0.3">
      <c r="A352" s="21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10"/>
      <c r="M352" s="10"/>
      <c r="N352" s="10"/>
    </row>
    <row r="353" spans="1:14" x14ac:dyDescent="0.3">
      <c r="A353" s="2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10"/>
      <c r="M353" s="10"/>
      <c r="N353" s="10"/>
    </row>
    <row r="354" spans="1:14" x14ac:dyDescent="0.3">
      <c r="A354" s="2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10"/>
      <c r="M354" s="10"/>
      <c r="N354" s="10"/>
    </row>
    <row r="355" spans="1:14" x14ac:dyDescent="0.3">
      <c r="A355" s="2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10"/>
      <c r="M355" s="10"/>
      <c r="N355" s="10"/>
    </row>
    <row r="356" spans="1:14" x14ac:dyDescent="0.3">
      <c r="A356" s="21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10"/>
      <c r="M356" s="10"/>
      <c r="N356" s="10"/>
    </row>
    <row r="357" spans="1:14" x14ac:dyDescent="0.3">
      <c r="A357" s="2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10"/>
      <c r="M357" s="10"/>
      <c r="N357" s="10"/>
    </row>
    <row r="358" spans="1:14" x14ac:dyDescent="0.3">
      <c r="A358" s="21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10"/>
      <c r="M358" s="10"/>
      <c r="N358" s="10"/>
    </row>
    <row r="359" spans="1:14" x14ac:dyDescent="0.3">
      <c r="A359" s="2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</row>
    <row r="360" spans="1:14" x14ac:dyDescent="0.3">
      <c r="A360" s="21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</row>
    <row r="361" spans="1:14" x14ac:dyDescent="0.3">
      <c r="A361" s="2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</row>
    <row r="362" spans="1:14" x14ac:dyDescent="0.3">
      <c r="A362" s="21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</row>
    <row r="363" spans="1:14" x14ac:dyDescent="0.3">
      <c r="A363" s="2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</row>
    <row r="364" spans="1:14" x14ac:dyDescent="0.3">
      <c r="A364" s="21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</row>
    <row r="365" spans="1:14" x14ac:dyDescent="0.3">
      <c r="A365" s="2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</row>
    <row r="366" spans="1:14" x14ac:dyDescent="0.3">
      <c r="A366" s="21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</row>
    <row r="367" spans="1:14" x14ac:dyDescent="0.3">
      <c r="A367" s="21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</row>
    <row r="368" spans="1:14" x14ac:dyDescent="0.3">
      <c r="A368" s="21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</row>
    <row r="369" spans="1:12" x14ac:dyDescent="0.3">
      <c r="A369" s="21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</row>
    <row r="370" spans="1:12" x14ac:dyDescent="0.3">
      <c r="A370" s="21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</row>
    <row r="371" spans="1:12" x14ac:dyDescent="0.3">
      <c r="A371" s="21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</row>
    <row r="372" spans="1:12" x14ac:dyDescent="0.3">
      <c r="A372" s="21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</row>
    <row r="373" spans="1:12" x14ac:dyDescent="0.3">
      <c r="A373" s="21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</row>
    <row r="374" spans="1:12" x14ac:dyDescent="0.3">
      <c r="A374" s="21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</row>
    <row r="375" spans="1:12" x14ac:dyDescent="0.3">
      <c r="A375" s="21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</row>
    <row r="376" spans="1:12" x14ac:dyDescent="0.3">
      <c r="A376" s="21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</row>
    <row r="377" spans="1:12" x14ac:dyDescent="0.3">
      <c r="A377" s="21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</row>
    <row r="378" spans="1:12" x14ac:dyDescent="0.3">
      <c r="A378" s="21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</row>
    <row r="379" spans="1:12" x14ac:dyDescent="0.3">
      <c r="A379" s="21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</row>
    <row r="380" spans="1:12" x14ac:dyDescent="0.3">
      <c r="A380" s="21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</row>
    <row r="381" spans="1:12" x14ac:dyDescent="0.3">
      <c r="A381" s="21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</row>
    <row r="382" spans="1:12" x14ac:dyDescent="0.3">
      <c r="A382" s="21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</row>
    <row r="383" spans="1:12" x14ac:dyDescent="0.3">
      <c r="A383" s="21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</row>
    <row r="384" spans="1:12" x14ac:dyDescent="0.3">
      <c r="A384" s="21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</row>
    <row r="385" spans="1:12" x14ac:dyDescent="0.3">
      <c r="A385" s="21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</row>
    <row r="386" spans="1:12" x14ac:dyDescent="0.3">
      <c r="A386" s="21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</row>
    <row r="387" spans="1:12" x14ac:dyDescent="0.3">
      <c r="A387" s="21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</row>
    <row r="388" spans="1:12" x14ac:dyDescent="0.3">
      <c r="A388" s="21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</row>
    <row r="389" spans="1:12" x14ac:dyDescent="0.3">
      <c r="A389" s="21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</row>
    <row r="390" spans="1:12" x14ac:dyDescent="0.3">
      <c r="A390" s="21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</row>
    <row r="391" spans="1:12" x14ac:dyDescent="0.3">
      <c r="A391" s="21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</row>
    <row r="392" spans="1:12" x14ac:dyDescent="0.3">
      <c r="A392" s="21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</row>
    <row r="393" spans="1:12" x14ac:dyDescent="0.3">
      <c r="A393" s="21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</row>
    <row r="394" spans="1:12" x14ac:dyDescent="0.3">
      <c r="A394" s="21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</row>
    <row r="395" spans="1:12" x14ac:dyDescent="0.3">
      <c r="A395" s="21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</row>
    <row r="396" spans="1:12" x14ac:dyDescent="0.3">
      <c r="A396" s="21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</row>
    <row r="397" spans="1:12" x14ac:dyDescent="0.3">
      <c r="A397" s="21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</row>
    <row r="398" spans="1:12" x14ac:dyDescent="0.3">
      <c r="A398" s="21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</row>
    <row r="399" spans="1:12" x14ac:dyDescent="0.3">
      <c r="A399" s="21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</row>
    <row r="400" spans="1:12" x14ac:dyDescent="0.3">
      <c r="A400" s="21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</row>
    <row r="401" spans="1:12" x14ac:dyDescent="0.3">
      <c r="A401" s="21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</row>
    <row r="402" spans="1:12" x14ac:dyDescent="0.3">
      <c r="A402" s="21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</row>
    <row r="403" spans="1:12" x14ac:dyDescent="0.3">
      <c r="A403" s="21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</row>
    <row r="404" spans="1:12" x14ac:dyDescent="0.3">
      <c r="A404" s="21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</row>
    <row r="405" spans="1:12" x14ac:dyDescent="0.3">
      <c r="A405" s="21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</row>
    <row r="406" spans="1:12" x14ac:dyDescent="0.3">
      <c r="A406" s="21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</row>
    <row r="407" spans="1:12" x14ac:dyDescent="0.3">
      <c r="A407" s="21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</row>
    <row r="408" spans="1:12" x14ac:dyDescent="0.3">
      <c r="A408" s="21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</row>
    <row r="409" spans="1:12" x14ac:dyDescent="0.3">
      <c r="A409" s="21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</row>
    <row r="410" spans="1:12" x14ac:dyDescent="0.3">
      <c r="A410" s="21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</row>
    <row r="411" spans="1:12" x14ac:dyDescent="0.3">
      <c r="A411" s="21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</row>
    <row r="412" spans="1:12" x14ac:dyDescent="0.3">
      <c r="A412" s="21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</row>
    <row r="413" spans="1:12" x14ac:dyDescent="0.3">
      <c r="A413" s="21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</row>
    <row r="414" spans="1:12" x14ac:dyDescent="0.3">
      <c r="A414" s="21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</row>
    <row r="415" spans="1:12" x14ac:dyDescent="0.3">
      <c r="A415" s="21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</row>
    <row r="416" spans="1:12" x14ac:dyDescent="0.3">
      <c r="A416" s="21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</row>
    <row r="417" spans="1:12" x14ac:dyDescent="0.3">
      <c r="A417" s="21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</row>
    <row r="418" spans="1:12" x14ac:dyDescent="0.3">
      <c r="A418" s="21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</row>
    <row r="419" spans="1:12" x14ac:dyDescent="0.3">
      <c r="A419" s="21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</row>
    <row r="420" spans="1:12" x14ac:dyDescent="0.3">
      <c r="A420" s="21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</row>
    <row r="421" spans="1:12" x14ac:dyDescent="0.3">
      <c r="A421" s="21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</row>
    <row r="422" spans="1:12" x14ac:dyDescent="0.3">
      <c r="A422" s="21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</row>
    <row r="423" spans="1:12" x14ac:dyDescent="0.3">
      <c r="A423" s="21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</row>
    <row r="424" spans="1:12" x14ac:dyDescent="0.3">
      <c r="A424" s="21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</row>
    <row r="425" spans="1:12" x14ac:dyDescent="0.3">
      <c r="A425" s="21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</row>
    <row r="426" spans="1:12" x14ac:dyDescent="0.3">
      <c r="A426" s="21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</row>
    <row r="427" spans="1:12" x14ac:dyDescent="0.3">
      <c r="A427" s="21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</row>
    <row r="428" spans="1:12" x14ac:dyDescent="0.3">
      <c r="A428" s="21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</row>
    <row r="429" spans="1:12" x14ac:dyDescent="0.3">
      <c r="A429" s="21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</row>
    <row r="430" spans="1:12" x14ac:dyDescent="0.3">
      <c r="A430" s="21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</row>
    <row r="431" spans="1:12" x14ac:dyDescent="0.3">
      <c r="A431" s="21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</row>
    <row r="432" spans="1:12" x14ac:dyDescent="0.3">
      <c r="A432" s="21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</row>
    <row r="433" spans="1:12" x14ac:dyDescent="0.3">
      <c r="A433" s="21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</row>
    <row r="434" spans="1:12" x14ac:dyDescent="0.3">
      <c r="A434" s="21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</row>
    <row r="435" spans="1:12" x14ac:dyDescent="0.3">
      <c r="A435" s="21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</row>
    <row r="436" spans="1:12" x14ac:dyDescent="0.3">
      <c r="A436" s="21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</row>
    <row r="437" spans="1:12" x14ac:dyDescent="0.3">
      <c r="A437" s="21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</row>
    <row r="438" spans="1:12" x14ac:dyDescent="0.3">
      <c r="A438" s="21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</row>
    <row r="439" spans="1:12" x14ac:dyDescent="0.3">
      <c r="A439" s="21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</row>
    <row r="440" spans="1:12" x14ac:dyDescent="0.3">
      <c r="A440" s="21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</row>
    <row r="441" spans="1:12" x14ac:dyDescent="0.3">
      <c r="A441" s="21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</row>
    <row r="442" spans="1:12" x14ac:dyDescent="0.3">
      <c r="A442" s="21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</row>
    <row r="443" spans="1:12" x14ac:dyDescent="0.3">
      <c r="A443" s="21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</row>
    <row r="444" spans="1:12" x14ac:dyDescent="0.3">
      <c r="A444" s="21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</row>
    <row r="445" spans="1:12" x14ac:dyDescent="0.3">
      <c r="A445" s="21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</row>
    <row r="446" spans="1:12" x14ac:dyDescent="0.3">
      <c r="A446" s="21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</row>
    <row r="447" spans="1:12" x14ac:dyDescent="0.3">
      <c r="A447" s="21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</row>
    <row r="448" spans="1:12" x14ac:dyDescent="0.3">
      <c r="A448" s="21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</row>
    <row r="449" spans="1:12" x14ac:dyDescent="0.3">
      <c r="A449" s="21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</row>
    <row r="450" spans="1:12" x14ac:dyDescent="0.3">
      <c r="A450" s="21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</row>
    <row r="451" spans="1:12" x14ac:dyDescent="0.3">
      <c r="A451" s="21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</row>
    <row r="452" spans="1:12" x14ac:dyDescent="0.3">
      <c r="A452" s="21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</row>
    <row r="453" spans="1:12" x14ac:dyDescent="0.3">
      <c r="A453" s="21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</row>
    <row r="454" spans="1:12" x14ac:dyDescent="0.3">
      <c r="A454" s="21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</row>
    <row r="455" spans="1:12" x14ac:dyDescent="0.3">
      <c r="A455" s="21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</row>
    <row r="456" spans="1:12" x14ac:dyDescent="0.3">
      <c r="A456" s="21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</row>
    <row r="457" spans="1:12" x14ac:dyDescent="0.3">
      <c r="A457" s="21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</row>
    <row r="458" spans="1:12" x14ac:dyDescent="0.3">
      <c r="A458" s="21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</row>
    <row r="459" spans="1:12" x14ac:dyDescent="0.3">
      <c r="A459" s="21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</row>
    <row r="460" spans="1:12" x14ac:dyDescent="0.3">
      <c r="A460" s="21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</row>
    <row r="461" spans="1:12" x14ac:dyDescent="0.3">
      <c r="A461" s="21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</row>
    <row r="462" spans="1:12" x14ac:dyDescent="0.3">
      <c r="A462" s="21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</row>
    <row r="463" spans="1:12" x14ac:dyDescent="0.3">
      <c r="A463" s="21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</row>
    <row r="464" spans="1:12" x14ac:dyDescent="0.3">
      <c r="A464" s="21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</row>
    <row r="465" spans="1:12" x14ac:dyDescent="0.3">
      <c r="A465" s="21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</row>
    <row r="466" spans="1:12" x14ac:dyDescent="0.3">
      <c r="A466" s="21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</row>
    <row r="467" spans="1:12" x14ac:dyDescent="0.3">
      <c r="A467" s="21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</row>
    <row r="468" spans="1:12" x14ac:dyDescent="0.3">
      <c r="A468" s="21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</row>
    <row r="469" spans="1:12" x14ac:dyDescent="0.3">
      <c r="A469" s="21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</row>
    <row r="470" spans="1:12" x14ac:dyDescent="0.3">
      <c r="A470" s="21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</row>
    <row r="471" spans="1:12" x14ac:dyDescent="0.3">
      <c r="A471" s="21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</row>
    <row r="472" spans="1:12" x14ac:dyDescent="0.3">
      <c r="A472" s="21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</row>
    <row r="473" spans="1:12" x14ac:dyDescent="0.3">
      <c r="A473" s="21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</row>
    <row r="474" spans="1:12" x14ac:dyDescent="0.3">
      <c r="A474" s="21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</row>
    <row r="475" spans="1:12" x14ac:dyDescent="0.3">
      <c r="A475" s="21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</row>
    <row r="476" spans="1:12" x14ac:dyDescent="0.3">
      <c r="A476" s="21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</row>
    <row r="477" spans="1:12" x14ac:dyDescent="0.3">
      <c r="A477" s="21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</row>
    <row r="478" spans="1:12" x14ac:dyDescent="0.3">
      <c r="A478" s="21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</row>
    <row r="479" spans="1:12" x14ac:dyDescent="0.3">
      <c r="A479" s="21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</row>
    <row r="480" spans="1:12" x14ac:dyDescent="0.3">
      <c r="A480" s="21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</row>
    <row r="481" spans="1:12" x14ac:dyDescent="0.3">
      <c r="A481" s="21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</row>
    <row r="482" spans="1:12" x14ac:dyDescent="0.3">
      <c r="A482" s="21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</row>
    <row r="483" spans="1:12" x14ac:dyDescent="0.3">
      <c r="A483" s="21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</row>
    <row r="484" spans="1:12" x14ac:dyDescent="0.3">
      <c r="A484" s="21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</row>
    <row r="485" spans="1:12" x14ac:dyDescent="0.3">
      <c r="A485" s="21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</row>
    <row r="486" spans="1:12" x14ac:dyDescent="0.3">
      <c r="A486" s="21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</row>
    <row r="487" spans="1:12" x14ac:dyDescent="0.3">
      <c r="A487" s="21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</row>
    <row r="488" spans="1:12" x14ac:dyDescent="0.3">
      <c r="A488" s="21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</row>
    <row r="489" spans="1:12" x14ac:dyDescent="0.3">
      <c r="A489" s="21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</row>
    <row r="490" spans="1:12" x14ac:dyDescent="0.3">
      <c r="A490" s="21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</row>
    <row r="491" spans="1:12" x14ac:dyDescent="0.3">
      <c r="A491" s="21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</row>
    <row r="492" spans="1:12" x14ac:dyDescent="0.3">
      <c r="A492" s="21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</row>
    <row r="493" spans="1:12" x14ac:dyDescent="0.3">
      <c r="A493" s="21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</row>
    <row r="494" spans="1:12" x14ac:dyDescent="0.3">
      <c r="A494" s="21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</row>
    <row r="495" spans="1:12" x14ac:dyDescent="0.3">
      <c r="A495" s="21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</row>
    <row r="496" spans="1:12" x14ac:dyDescent="0.3">
      <c r="A496" s="21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</row>
    <row r="497" spans="1:12" x14ac:dyDescent="0.3">
      <c r="A497" s="21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</row>
    <row r="498" spans="1:12" x14ac:dyDescent="0.3">
      <c r="A498" s="21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</row>
    <row r="499" spans="1:12" x14ac:dyDescent="0.3">
      <c r="A499" s="21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</row>
    <row r="500" spans="1:12" x14ac:dyDescent="0.3">
      <c r="A500" s="21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</row>
    <row r="501" spans="1:12" x14ac:dyDescent="0.3">
      <c r="A501" s="21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</row>
    <row r="502" spans="1:12" x14ac:dyDescent="0.3">
      <c r="A502" s="21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</row>
    <row r="503" spans="1:12" x14ac:dyDescent="0.3">
      <c r="A503" s="21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</row>
    <row r="504" spans="1:12" x14ac:dyDescent="0.3">
      <c r="A504" s="21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</row>
    <row r="505" spans="1:12" x14ac:dyDescent="0.3">
      <c r="A505" s="21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</row>
    <row r="506" spans="1:12" x14ac:dyDescent="0.3">
      <c r="A506" s="21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</row>
    <row r="507" spans="1:12" x14ac:dyDescent="0.3">
      <c r="A507" s="21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</row>
    <row r="508" spans="1:12" x14ac:dyDescent="0.3">
      <c r="A508" s="21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</row>
    <row r="509" spans="1:12" x14ac:dyDescent="0.3">
      <c r="A509" s="21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</row>
    <row r="510" spans="1:12" x14ac:dyDescent="0.3">
      <c r="A510" s="21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</row>
    <row r="511" spans="1:12" x14ac:dyDescent="0.3">
      <c r="A511" s="21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</row>
    <row r="512" spans="1:12" x14ac:dyDescent="0.3">
      <c r="A512" s="21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</row>
    <row r="513" spans="1:12" x14ac:dyDescent="0.3">
      <c r="A513" s="21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</row>
    <row r="514" spans="1:12" x14ac:dyDescent="0.3">
      <c r="A514" s="21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</row>
    <row r="515" spans="1:12" x14ac:dyDescent="0.3">
      <c r="A515" s="21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</row>
    <row r="516" spans="1:12" x14ac:dyDescent="0.3">
      <c r="A516" s="21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</row>
    <row r="517" spans="1:12" x14ac:dyDescent="0.3">
      <c r="A517" s="21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</row>
    <row r="518" spans="1:12" x14ac:dyDescent="0.3">
      <c r="A518" s="21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</row>
    <row r="519" spans="1:12" x14ac:dyDescent="0.3">
      <c r="A519" s="21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</row>
    <row r="520" spans="1:12" x14ac:dyDescent="0.3">
      <c r="A520" s="21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</row>
    <row r="521" spans="1:12" x14ac:dyDescent="0.3">
      <c r="A521" s="21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</row>
    <row r="522" spans="1:12" x14ac:dyDescent="0.3">
      <c r="A522" s="21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</row>
    <row r="523" spans="1:12" x14ac:dyDescent="0.3">
      <c r="A523" s="21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</row>
    <row r="524" spans="1:12" x14ac:dyDescent="0.3">
      <c r="A524" s="21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</row>
    <row r="525" spans="1:12" x14ac:dyDescent="0.3">
      <c r="A525" s="21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</row>
    <row r="526" spans="1:12" x14ac:dyDescent="0.3">
      <c r="A526" s="21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</row>
    <row r="527" spans="1:12" x14ac:dyDescent="0.3">
      <c r="A527" s="21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</row>
    <row r="528" spans="1:12" x14ac:dyDescent="0.3">
      <c r="A528" s="21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</row>
    <row r="529" spans="1:12" x14ac:dyDescent="0.3">
      <c r="A529" s="21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</row>
    <row r="530" spans="1:12" x14ac:dyDescent="0.3">
      <c r="A530" s="21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</row>
    <row r="531" spans="1:12" x14ac:dyDescent="0.3">
      <c r="A531" s="21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</row>
    <row r="532" spans="1:12" x14ac:dyDescent="0.3">
      <c r="A532" s="21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</row>
    <row r="533" spans="1:12" x14ac:dyDescent="0.3">
      <c r="A533" s="21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</row>
    <row r="534" spans="1:12" x14ac:dyDescent="0.3">
      <c r="A534" s="21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</row>
    <row r="535" spans="1:12" x14ac:dyDescent="0.3">
      <c r="A535" s="21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</row>
    <row r="536" spans="1:12" x14ac:dyDescent="0.3">
      <c r="A536" s="21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</row>
    <row r="537" spans="1:12" x14ac:dyDescent="0.3">
      <c r="A537" s="21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</row>
    <row r="538" spans="1:12" x14ac:dyDescent="0.3">
      <c r="A538" s="21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</row>
    <row r="539" spans="1:12" x14ac:dyDescent="0.3">
      <c r="A539" s="21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</row>
    <row r="540" spans="1:12" x14ac:dyDescent="0.3">
      <c r="A540" s="21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</row>
    <row r="541" spans="1:12" x14ac:dyDescent="0.3">
      <c r="A541" s="21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</row>
    <row r="542" spans="1:12" x14ac:dyDescent="0.3">
      <c r="A542" s="21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</row>
    <row r="543" spans="1:12" x14ac:dyDescent="0.3">
      <c r="A543" s="21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</row>
    <row r="544" spans="1:12" x14ac:dyDescent="0.3">
      <c r="A544" s="21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</row>
    <row r="545" spans="1:12" x14ac:dyDescent="0.3">
      <c r="A545" s="21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</row>
    <row r="546" spans="1:12" x14ac:dyDescent="0.3">
      <c r="A546" s="21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</row>
    <row r="547" spans="1:12" x14ac:dyDescent="0.3">
      <c r="A547" s="21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</row>
    <row r="548" spans="1:12" x14ac:dyDescent="0.3">
      <c r="A548" s="21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</row>
    <row r="549" spans="1:12" x14ac:dyDescent="0.3">
      <c r="A549" s="21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</row>
    <row r="550" spans="1:12" x14ac:dyDescent="0.3">
      <c r="A550" s="21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</row>
    <row r="551" spans="1:12" x14ac:dyDescent="0.3">
      <c r="A551" s="21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</row>
    <row r="552" spans="1:12" x14ac:dyDescent="0.3">
      <c r="A552" s="21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</row>
    <row r="553" spans="1:12" x14ac:dyDescent="0.3">
      <c r="A553" s="21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</row>
    <row r="554" spans="1:12" x14ac:dyDescent="0.3">
      <c r="A554" s="21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</row>
    <row r="555" spans="1:12" x14ac:dyDescent="0.3">
      <c r="A555" s="21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</row>
    <row r="556" spans="1:12" x14ac:dyDescent="0.3">
      <c r="A556" s="21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</row>
    <row r="557" spans="1:12" x14ac:dyDescent="0.3">
      <c r="A557" s="21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</row>
    <row r="558" spans="1:12" x14ac:dyDescent="0.3">
      <c r="A558" s="21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</row>
    <row r="559" spans="1:12" x14ac:dyDescent="0.3">
      <c r="A559" s="21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</row>
    <row r="560" spans="1:12" x14ac:dyDescent="0.3">
      <c r="A560" s="21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</row>
    <row r="561" spans="1:12" x14ac:dyDescent="0.3">
      <c r="A561" s="21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</row>
    <row r="562" spans="1:12" x14ac:dyDescent="0.3">
      <c r="A562" s="21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</row>
    <row r="563" spans="1:12" x14ac:dyDescent="0.3">
      <c r="A563" s="21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</row>
    <row r="564" spans="1:12" x14ac:dyDescent="0.3">
      <c r="A564" s="21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</row>
    <row r="565" spans="1:12" x14ac:dyDescent="0.3">
      <c r="A565" s="21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</row>
    <row r="566" spans="1:12" x14ac:dyDescent="0.3">
      <c r="A566" s="21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</row>
    <row r="567" spans="1:12" x14ac:dyDescent="0.3">
      <c r="A567" s="21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</row>
    <row r="568" spans="1:12" x14ac:dyDescent="0.3">
      <c r="A568" s="21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</row>
    <row r="569" spans="1:12" x14ac:dyDescent="0.3">
      <c r="A569" s="21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</row>
    <row r="570" spans="1:12" x14ac:dyDescent="0.3">
      <c r="A570" s="21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</row>
    <row r="571" spans="1:12" x14ac:dyDescent="0.3">
      <c r="A571" s="21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</row>
    <row r="572" spans="1:12" x14ac:dyDescent="0.3">
      <c r="A572" s="21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</row>
    <row r="573" spans="1:12" x14ac:dyDescent="0.3">
      <c r="A573" s="21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</row>
    <row r="574" spans="1:12" x14ac:dyDescent="0.3">
      <c r="A574" s="21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</row>
    <row r="575" spans="1:12" x14ac:dyDescent="0.3">
      <c r="A575" s="21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</row>
    <row r="576" spans="1:12" x14ac:dyDescent="0.3">
      <c r="A576" s="21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</row>
    <row r="577" spans="1:12" x14ac:dyDescent="0.3">
      <c r="A577" s="21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</row>
    <row r="578" spans="1:12" x14ac:dyDescent="0.3">
      <c r="A578" s="21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</row>
    <row r="579" spans="1:12" x14ac:dyDescent="0.3">
      <c r="A579" s="21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</row>
    <row r="580" spans="1:12" x14ac:dyDescent="0.3">
      <c r="A580" s="21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</row>
    <row r="581" spans="1:12" x14ac:dyDescent="0.3">
      <c r="A581" s="21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</row>
    <row r="582" spans="1:12" x14ac:dyDescent="0.3">
      <c r="A582" s="21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</row>
    <row r="583" spans="1:12" x14ac:dyDescent="0.3">
      <c r="A583" s="21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</row>
    <row r="584" spans="1:12" x14ac:dyDescent="0.3">
      <c r="A584" s="21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</row>
    <row r="585" spans="1:12" x14ac:dyDescent="0.3">
      <c r="A585" s="21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</row>
    <row r="586" spans="1:12" x14ac:dyDescent="0.3">
      <c r="A586" s="21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</row>
    <row r="587" spans="1:12" x14ac:dyDescent="0.3">
      <c r="A587" s="21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</row>
    <row r="588" spans="1:12" x14ac:dyDescent="0.3">
      <c r="A588" s="21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</row>
    <row r="589" spans="1:12" x14ac:dyDescent="0.3">
      <c r="A589" s="21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</row>
    <row r="590" spans="1:12" x14ac:dyDescent="0.3">
      <c r="A590" s="21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</row>
    <row r="591" spans="1:12" x14ac:dyDescent="0.3">
      <c r="A591" s="21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</row>
    <row r="592" spans="1:12" x14ac:dyDescent="0.3">
      <c r="A592" s="2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</row>
    <row r="593" spans="1:12" x14ac:dyDescent="0.3">
      <c r="A593" s="21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</row>
    <row r="594" spans="1:12" x14ac:dyDescent="0.3">
      <c r="A594" s="21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</row>
    <row r="595" spans="1:12" x14ac:dyDescent="0.3">
      <c r="A595" s="21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</row>
    <row r="596" spans="1:12" x14ac:dyDescent="0.3">
      <c r="A596" s="21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</row>
    <row r="597" spans="1:12" x14ac:dyDescent="0.3">
      <c r="A597" s="21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</row>
    <row r="598" spans="1:12" x14ac:dyDescent="0.3">
      <c r="A598" s="21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</row>
    <row r="599" spans="1:12" x14ac:dyDescent="0.3">
      <c r="A599" s="21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</row>
    <row r="600" spans="1:12" x14ac:dyDescent="0.3">
      <c r="A600" s="21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</row>
    <row r="601" spans="1:12" x14ac:dyDescent="0.3">
      <c r="A601" s="21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</row>
    <row r="602" spans="1:12" x14ac:dyDescent="0.3">
      <c r="A602" s="21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</row>
    <row r="603" spans="1:12" x14ac:dyDescent="0.3">
      <c r="A603" s="21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</row>
    <row r="604" spans="1:12" x14ac:dyDescent="0.3">
      <c r="A604" s="21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</row>
    <row r="605" spans="1:12" x14ac:dyDescent="0.3">
      <c r="A605" s="21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</row>
    <row r="606" spans="1:12" x14ac:dyDescent="0.3">
      <c r="A606" s="21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</row>
    <row r="607" spans="1:12" x14ac:dyDescent="0.3">
      <c r="A607" s="21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</row>
    <row r="608" spans="1:12" x14ac:dyDescent="0.3">
      <c r="A608" s="21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</row>
    <row r="609" spans="1:12" x14ac:dyDescent="0.3">
      <c r="A609" s="21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</row>
    <row r="610" spans="1:12" x14ac:dyDescent="0.3">
      <c r="A610" s="21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</row>
    <row r="611" spans="1:12" x14ac:dyDescent="0.3">
      <c r="A611" s="21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</row>
    <row r="612" spans="1:12" x14ac:dyDescent="0.3">
      <c r="A612" s="21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</row>
    <row r="613" spans="1:12" x14ac:dyDescent="0.3">
      <c r="A613" s="21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</row>
    <row r="614" spans="1:12" x14ac:dyDescent="0.3">
      <c r="A614" s="21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</row>
    <row r="615" spans="1:12" x14ac:dyDescent="0.3">
      <c r="A615" s="2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</row>
    <row r="616" spans="1:12" x14ac:dyDescent="0.3">
      <c r="A616" s="21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</row>
    <row r="617" spans="1:12" x14ac:dyDescent="0.3">
      <c r="A617" s="21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</row>
    <row r="618" spans="1:12" x14ac:dyDescent="0.3">
      <c r="A618" s="21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</row>
    <row r="619" spans="1:12" x14ac:dyDescent="0.3">
      <c r="A619" s="21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</row>
    <row r="620" spans="1:12" x14ac:dyDescent="0.3">
      <c r="A620" s="21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</row>
    <row r="621" spans="1:12" x14ac:dyDescent="0.3">
      <c r="A621" s="21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</row>
    <row r="622" spans="1:12" x14ac:dyDescent="0.3">
      <c r="A622" s="21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</row>
    <row r="623" spans="1:12" x14ac:dyDescent="0.3">
      <c r="A623" s="21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</row>
    <row r="624" spans="1:12" x14ac:dyDescent="0.3">
      <c r="A624" s="21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</row>
    <row r="625" spans="1:12" x14ac:dyDescent="0.3">
      <c r="A625" s="21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</row>
    <row r="626" spans="1:12" x14ac:dyDescent="0.3">
      <c r="A626" s="21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</row>
    <row r="627" spans="1:12" x14ac:dyDescent="0.3">
      <c r="A627" s="21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</row>
    <row r="628" spans="1:12" x14ac:dyDescent="0.3">
      <c r="A628" s="21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</row>
    <row r="629" spans="1:12" x14ac:dyDescent="0.3">
      <c r="A629" s="21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</row>
    <row r="630" spans="1:12" x14ac:dyDescent="0.3">
      <c r="A630" s="21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</row>
    <row r="631" spans="1:12" x14ac:dyDescent="0.3">
      <c r="A631" s="21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</row>
    <row r="632" spans="1:12" x14ac:dyDescent="0.3">
      <c r="A632" s="21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</row>
    <row r="633" spans="1:12" x14ac:dyDescent="0.3">
      <c r="A633" s="21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</row>
    <row r="634" spans="1:12" x14ac:dyDescent="0.3">
      <c r="A634" s="21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</row>
    <row r="635" spans="1:12" x14ac:dyDescent="0.3">
      <c r="A635" s="21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</row>
    <row r="636" spans="1:12" x14ac:dyDescent="0.3">
      <c r="A636" s="21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</row>
    <row r="637" spans="1:12" x14ac:dyDescent="0.3">
      <c r="A637" s="21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</row>
    <row r="638" spans="1:12" x14ac:dyDescent="0.3">
      <c r="A638" s="21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</row>
    <row r="639" spans="1:12" x14ac:dyDescent="0.3">
      <c r="A639" s="21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</row>
    <row r="640" spans="1:12" x14ac:dyDescent="0.3">
      <c r="A640" s="21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</row>
    <row r="641" spans="1:12" x14ac:dyDescent="0.3">
      <c r="A641" s="21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</row>
    <row r="642" spans="1:12" x14ac:dyDescent="0.3">
      <c r="A642" s="21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</row>
    <row r="643" spans="1:12" x14ac:dyDescent="0.3">
      <c r="A643" s="21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</row>
    <row r="644" spans="1:12" x14ac:dyDescent="0.3">
      <c r="A644" s="21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</row>
    <row r="645" spans="1:12" x14ac:dyDescent="0.3">
      <c r="A645" s="21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</row>
    <row r="646" spans="1:12" x14ac:dyDescent="0.3">
      <c r="A646" s="2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</row>
    <row r="647" spans="1:12" x14ac:dyDescent="0.3">
      <c r="A647" s="21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</row>
    <row r="648" spans="1:12" x14ac:dyDescent="0.3">
      <c r="A648" s="21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</row>
    <row r="649" spans="1:12" x14ac:dyDescent="0.3">
      <c r="A649" s="21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</row>
    <row r="650" spans="1:12" x14ac:dyDescent="0.3">
      <c r="A650" s="21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</row>
    <row r="651" spans="1:12" x14ac:dyDescent="0.3">
      <c r="A651" s="21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</row>
    <row r="652" spans="1:12" x14ac:dyDescent="0.3">
      <c r="A652" s="21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</row>
    <row r="653" spans="1:12" x14ac:dyDescent="0.3">
      <c r="A653" s="21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</row>
    <row r="654" spans="1:12" x14ac:dyDescent="0.3">
      <c r="A654" s="21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</row>
    <row r="655" spans="1:12" x14ac:dyDescent="0.3">
      <c r="A655" s="21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</row>
    <row r="656" spans="1:12" x14ac:dyDescent="0.3">
      <c r="A656" s="21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</row>
    <row r="657" spans="1:12" x14ac:dyDescent="0.3">
      <c r="A657" s="21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</row>
    <row r="658" spans="1:12" x14ac:dyDescent="0.3">
      <c r="A658" s="21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</row>
    <row r="659" spans="1:12" x14ac:dyDescent="0.3">
      <c r="A659" s="21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</row>
    <row r="660" spans="1:12" x14ac:dyDescent="0.3">
      <c r="A660" s="21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</row>
    <row r="661" spans="1:12" x14ac:dyDescent="0.3">
      <c r="A661" s="21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</row>
    <row r="662" spans="1:12" x14ac:dyDescent="0.3">
      <c r="A662" s="21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</row>
    <row r="663" spans="1:12" x14ac:dyDescent="0.3">
      <c r="A663" s="21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</row>
    <row r="664" spans="1:12" x14ac:dyDescent="0.3">
      <c r="A664" s="21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</row>
    <row r="665" spans="1:12" x14ac:dyDescent="0.3">
      <c r="A665" s="21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</row>
    <row r="666" spans="1:12" x14ac:dyDescent="0.3">
      <c r="A666" s="21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</row>
    <row r="667" spans="1:12" x14ac:dyDescent="0.3">
      <c r="A667" s="21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</row>
    <row r="668" spans="1:12" x14ac:dyDescent="0.3">
      <c r="A668" s="21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</row>
    <row r="669" spans="1:12" x14ac:dyDescent="0.3">
      <c r="A669" s="21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</row>
    <row r="670" spans="1:12" x14ac:dyDescent="0.3">
      <c r="A670" s="21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</row>
    <row r="671" spans="1:12" x14ac:dyDescent="0.3">
      <c r="A671" s="21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</row>
    <row r="672" spans="1:12" x14ac:dyDescent="0.3">
      <c r="A672" s="21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</row>
    <row r="673" spans="1:12" x14ac:dyDescent="0.3">
      <c r="A673" s="21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</row>
    <row r="674" spans="1:12" x14ac:dyDescent="0.3">
      <c r="A674" s="21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</row>
    <row r="675" spans="1:12" x14ac:dyDescent="0.3">
      <c r="A675" s="21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</row>
    <row r="676" spans="1:12" x14ac:dyDescent="0.3">
      <c r="A676" s="21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</row>
    <row r="677" spans="1:12" x14ac:dyDescent="0.3">
      <c r="A677" s="21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</row>
    <row r="678" spans="1:12" x14ac:dyDescent="0.3">
      <c r="A678" s="21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</row>
    <row r="679" spans="1:12" x14ac:dyDescent="0.3">
      <c r="A679" s="21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</row>
    <row r="680" spans="1:12" x14ac:dyDescent="0.3">
      <c r="A680" s="21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</row>
    <row r="681" spans="1:12" x14ac:dyDescent="0.3">
      <c r="A681" s="21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</row>
    <row r="682" spans="1:12" x14ac:dyDescent="0.3">
      <c r="A682" s="21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</row>
    <row r="683" spans="1:12" x14ac:dyDescent="0.3">
      <c r="A683" s="21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</row>
    <row r="684" spans="1:12" x14ac:dyDescent="0.3">
      <c r="A684" s="21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</row>
    <row r="685" spans="1:12" x14ac:dyDescent="0.3">
      <c r="A685" s="21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</row>
    <row r="686" spans="1:12" x14ac:dyDescent="0.3">
      <c r="A686" s="21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</row>
    <row r="687" spans="1:12" x14ac:dyDescent="0.3">
      <c r="A687" s="21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</row>
    <row r="688" spans="1:12" x14ac:dyDescent="0.3">
      <c r="A688" s="21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</row>
    <row r="689" spans="1:12" x14ac:dyDescent="0.3">
      <c r="A689" s="21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</row>
    <row r="690" spans="1:12" x14ac:dyDescent="0.3">
      <c r="A690" s="21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</row>
    <row r="691" spans="1:12" x14ac:dyDescent="0.3">
      <c r="A691" s="21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</row>
    <row r="692" spans="1:12" x14ac:dyDescent="0.3">
      <c r="A692" s="21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</row>
    <row r="693" spans="1:12" x14ac:dyDescent="0.3">
      <c r="A693" s="21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</row>
    <row r="694" spans="1:12" x14ac:dyDescent="0.3">
      <c r="A694" s="21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</row>
    <row r="695" spans="1:12" x14ac:dyDescent="0.3">
      <c r="A695" s="21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</row>
    <row r="696" spans="1:12" x14ac:dyDescent="0.3">
      <c r="A696" s="21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</row>
    <row r="697" spans="1:12" x14ac:dyDescent="0.3">
      <c r="A697" s="21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</row>
    <row r="698" spans="1:12" x14ac:dyDescent="0.3">
      <c r="A698" s="21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</row>
    <row r="699" spans="1:12" x14ac:dyDescent="0.3">
      <c r="A699" s="21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</row>
    <row r="700" spans="1:12" x14ac:dyDescent="0.3">
      <c r="A700" s="21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</row>
    <row r="701" spans="1:12" x14ac:dyDescent="0.3">
      <c r="A701" s="21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</row>
    <row r="702" spans="1:12" x14ac:dyDescent="0.3">
      <c r="A702" s="21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</row>
    <row r="703" spans="1:12" x14ac:dyDescent="0.3">
      <c r="A703" s="21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</row>
    <row r="704" spans="1:12" x14ac:dyDescent="0.3">
      <c r="A704" s="21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</row>
    <row r="705" spans="1:12" x14ac:dyDescent="0.3">
      <c r="A705" s="21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</row>
    <row r="706" spans="1:12" x14ac:dyDescent="0.3">
      <c r="A706" s="21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</row>
    <row r="707" spans="1:12" x14ac:dyDescent="0.3">
      <c r="A707" s="21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</row>
    <row r="708" spans="1:12" x14ac:dyDescent="0.3">
      <c r="A708" s="21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</row>
    <row r="709" spans="1:12" x14ac:dyDescent="0.3">
      <c r="A709" s="21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</row>
    <row r="710" spans="1:12" x14ac:dyDescent="0.3">
      <c r="A710" s="21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</row>
    <row r="711" spans="1:12" x14ac:dyDescent="0.3">
      <c r="A711" s="21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</row>
    <row r="712" spans="1:12" x14ac:dyDescent="0.3">
      <c r="A712" s="21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</row>
    <row r="713" spans="1:12" x14ac:dyDescent="0.3">
      <c r="A713" s="21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</row>
    <row r="714" spans="1:12" x14ac:dyDescent="0.3">
      <c r="A714" s="21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</row>
    <row r="715" spans="1:12" x14ac:dyDescent="0.3">
      <c r="A715" s="21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</row>
    <row r="716" spans="1:12" x14ac:dyDescent="0.3">
      <c r="A716" s="21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</row>
    <row r="717" spans="1:12" x14ac:dyDescent="0.3">
      <c r="A717" s="21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</row>
    <row r="718" spans="1:12" x14ac:dyDescent="0.3">
      <c r="A718" s="21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</row>
    <row r="719" spans="1:12" x14ac:dyDescent="0.3">
      <c r="A719" s="21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</row>
    <row r="720" spans="1:12" x14ac:dyDescent="0.3">
      <c r="A720" s="21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</row>
    <row r="721" spans="1:12" x14ac:dyDescent="0.3">
      <c r="A721" s="21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</row>
    <row r="722" spans="1:12" x14ac:dyDescent="0.3">
      <c r="A722" s="21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</row>
    <row r="723" spans="1:12" x14ac:dyDescent="0.3">
      <c r="A723" s="21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</row>
    <row r="724" spans="1:12" x14ac:dyDescent="0.3">
      <c r="A724" s="21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</row>
    <row r="725" spans="1:12" x14ac:dyDescent="0.3">
      <c r="A725" s="21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</row>
    <row r="726" spans="1:12" x14ac:dyDescent="0.3">
      <c r="A726" s="21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</row>
    <row r="727" spans="1:12" x14ac:dyDescent="0.3">
      <c r="A727" s="21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</row>
    <row r="728" spans="1:12" x14ac:dyDescent="0.3">
      <c r="A728" s="21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</row>
    <row r="729" spans="1:12" x14ac:dyDescent="0.3">
      <c r="A729" s="21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</row>
    <row r="730" spans="1:12" x14ac:dyDescent="0.3">
      <c r="A730" s="21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</row>
    <row r="731" spans="1:12" x14ac:dyDescent="0.3">
      <c r="A731" s="21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</row>
    <row r="732" spans="1:12" x14ac:dyDescent="0.3">
      <c r="A732" s="21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</row>
    <row r="733" spans="1:12" x14ac:dyDescent="0.3">
      <c r="A733" s="21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</row>
    <row r="734" spans="1:12" x14ac:dyDescent="0.3">
      <c r="A734" s="21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</row>
    <row r="735" spans="1:12" x14ac:dyDescent="0.3">
      <c r="A735" s="21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</row>
    <row r="736" spans="1:12" x14ac:dyDescent="0.3">
      <c r="A736" s="21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</row>
    <row r="737" spans="1:12" x14ac:dyDescent="0.3">
      <c r="A737" s="21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</row>
    <row r="738" spans="1:12" x14ac:dyDescent="0.3">
      <c r="A738" s="21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</row>
    <row r="739" spans="1:12" x14ac:dyDescent="0.3">
      <c r="A739" s="21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</row>
    <row r="740" spans="1:12" x14ac:dyDescent="0.3">
      <c r="A740" s="21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</row>
    <row r="741" spans="1:12" x14ac:dyDescent="0.3">
      <c r="A741" s="21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</row>
    <row r="742" spans="1:12" x14ac:dyDescent="0.3">
      <c r="A742" s="21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</row>
    <row r="743" spans="1:12" x14ac:dyDescent="0.3">
      <c r="A743" s="21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</row>
    <row r="744" spans="1:12" x14ac:dyDescent="0.3">
      <c r="A744" s="21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</row>
    <row r="745" spans="1:12" x14ac:dyDescent="0.3">
      <c r="A745" s="21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</row>
    <row r="746" spans="1:12" x14ac:dyDescent="0.3">
      <c r="A746" s="21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</row>
    <row r="747" spans="1:12" x14ac:dyDescent="0.3">
      <c r="A747" s="21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</row>
    <row r="748" spans="1:12" x14ac:dyDescent="0.3">
      <c r="A748" s="21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</row>
    <row r="749" spans="1:12" x14ac:dyDescent="0.3">
      <c r="A749" s="21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</row>
    <row r="750" spans="1:12" x14ac:dyDescent="0.3">
      <c r="A750" s="21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</row>
    <row r="751" spans="1:12" x14ac:dyDescent="0.3">
      <c r="A751" s="21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</row>
    <row r="752" spans="1:12" x14ac:dyDescent="0.3">
      <c r="A752" s="21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</row>
    <row r="753" spans="1:12" x14ac:dyDescent="0.3">
      <c r="A753" s="21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</row>
    <row r="754" spans="1:12" x14ac:dyDescent="0.3">
      <c r="A754" s="21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</row>
    <row r="755" spans="1:12" x14ac:dyDescent="0.3">
      <c r="A755" s="21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</row>
    <row r="756" spans="1:12" x14ac:dyDescent="0.3">
      <c r="A756" s="21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</row>
    <row r="757" spans="1:12" x14ac:dyDescent="0.3">
      <c r="A757" s="21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</row>
    <row r="758" spans="1:12" x14ac:dyDescent="0.3">
      <c r="A758" s="21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</row>
    <row r="759" spans="1:12" x14ac:dyDescent="0.3">
      <c r="A759" s="21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</row>
    <row r="760" spans="1:12" x14ac:dyDescent="0.3">
      <c r="A760" s="21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</row>
    <row r="761" spans="1:12" x14ac:dyDescent="0.3">
      <c r="A761" s="21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</row>
    <row r="762" spans="1:12" x14ac:dyDescent="0.3">
      <c r="A762" s="21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</row>
    <row r="763" spans="1:12" x14ac:dyDescent="0.3">
      <c r="A763" s="21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</row>
    <row r="764" spans="1:12" x14ac:dyDescent="0.3">
      <c r="A764" s="21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</row>
    <row r="765" spans="1:12" x14ac:dyDescent="0.3">
      <c r="A765" s="21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</row>
    <row r="766" spans="1:12" x14ac:dyDescent="0.3">
      <c r="A766" s="21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</row>
    <row r="767" spans="1:12" x14ac:dyDescent="0.3">
      <c r="A767" s="21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</row>
    <row r="768" spans="1:12" x14ac:dyDescent="0.3">
      <c r="A768" s="21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</row>
    <row r="769" spans="1:12" x14ac:dyDescent="0.3">
      <c r="A769" s="21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</row>
    <row r="770" spans="1:12" x14ac:dyDescent="0.3">
      <c r="A770" s="21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</row>
    <row r="771" spans="1:12" x14ac:dyDescent="0.3">
      <c r="A771" s="21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</row>
    <row r="772" spans="1:12" x14ac:dyDescent="0.3">
      <c r="A772" s="21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</row>
    <row r="773" spans="1:12" x14ac:dyDescent="0.3">
      <c r="A773" s="21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</row>
    <row r="774" spans="1:12" x14ac:dyDescent="0.3">
      <c r="A774" s="21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</row>
    <row r="775" spans="1:12" x14ac:dyDescent="0.3">
      <c r="A775" s="21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</row>
    <row r="776" spans="1:12" x14ac:dyDescent="0.3">
      <c r="A776" s="21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</row>
    <row r="777" spans="1:12" x14ac:dyDescent="0.3">
      <c r="A777" s="21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</row>
    <row r="778" spans="1:12" x14ac:dyDescent="0.3">
      <c r="A778" s="21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</row>
    <row r="779" spans="1:12" x14ac:dyDescent="0.3">
      <c r="A779" s="21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</row>
    <row r="780" spans="1:12" x14ac:dyDescent="0.3">
      <c r="A780" s="21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</row>
    <row r="781" spans="1:12" x14ac:dyDescent="0.3">
      <c r="A781" s="21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</row>
    <row r="782" spans="1:12" x14ac:dyDescent="0.3">
      <c r="A782" s="21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</row>
    <row r="783" spans="1:12" x14ac:dyDescent="0.3">
      <c r="A783" s="21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</row>
    <row r="784" spans="1:12" x14ac:dyDescent="0.3">
      <c r="A784" s="21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</row>
    <row r="785" spans="1:12" x14ac:dyDescent="0.3">
      <c r="A785" s="21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</row>
    <row r="786" spans="1:12" x14ac:dyDescent="0.3">
      <c r="A786" s="21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</row>
    <row r="787" spans="1:12" x14ac:dyDescent="0.3">
      <c r="A787" s="21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</row>
    <row r="788" spans="1:12" x14ac:dyDescent="0.3">
      <c r="A788" s="21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</row>
    <row r="789" spans="1:12" x14ac:dyDescent="0.3">
      <c r="A789" s="21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</row>
    <row r="790" spans="1:12" x14ac:dyDescent="0.3">
      <c r="A790" s="21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</row>
    <row r="791" spans="1:12" x14ac:dyDescent="0.3">
      <c r="A791" s="21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</row>
    <row r="792" spans="1:12" x14ac:dyDescent="0.3">
      <c r="A792" s="21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</row>
    <row r="793" spans="1:12" x14ac:dyDescent="0.3">
      <c r="A793" s="21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</row>
    <row r="794" spans="1:12" x14ac:dyDescent="0.3">
      <c r="A794" s="21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</row>
  </sheetData>
  <mergeCells count="3">
    <mergeCell ref="A1:J1"/>
    <mergeCell ref="A4:J4"/>
    <mergeCell ref="G2:J3"/>
  </mergeCells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G21"/>
  <sheetViews>
    <sheetView zoomScaleNormal="100" workbookViewId="0">
      <selection activeCell="K36" sqref="K36"/>
    </sheetView>
  </sheetViews>
  <sheetFormatPr baseColWidth="10" defaultColWidth="9.109375" defaultRowHeight="14.4" x14ac:dyDescent="0.3"/>
  <cols>
    <col min="1" max="1" width="15.88671875" customWidth="1"/>
    <col min="3" max="6" width="8.6640625" style="30" customWidth="1"/>
    <col min="8" max="9" width="9.44140625" customWidth="1"/>
  </cols>
  <sheetData>
    <row r="1" spans="1:33" ht="20.25" customHeight="1" x14ac:dyDescent="0.3">
      <c r="A1" s="31" t="s">
        <v>220</v>
      </c>
      <c r="C1" s="32" t="s">
        <v>221</v>
      </c>
      <c r="D1" s="32" t="s">
        <v>222</v>
      </c>
      <c r="E1" s="32" t="s">
        <v>223</v>
      </c>
      <c r="J1" s="33" t="s">
        <v>224</v>
      </c>
      <c r="K1" s="34" t="s">
        <v>225</v>
      </c>
      <c r="L1" s="34" t="s">
        <v>226</v>
      </c>
      <c r="M1" s="34" t="s">
        <v>227</v>
      </c>
      <c r="N1" s="34" t="s">
        <v>228</v>
      </c>
      <c r="O1" s="34" t="s">
        <v>229</v>
      </c>
      <c r="P1" s="34" t="s">
        <v>230</v>
      </c>
      <c r="Q1" s="34" t="s">
        <v>231</v>
      </c>
      <c r="R1" s="35" t="s">
        <v>232</v>
      </c>
      <c r="T1" s="36"/>
      <c r="U1" s="88" t="s">
        <v>233</v>
      </c>
      <c r="V1" s="89"/>
      <c r="W1" s="90"/>
      <c r="X1" s="88" t="s">
        <v>234</v>
      </c>
      <c r="Y1" s="89"/>
      <c r="Z1" s="90"/>
      <c r="AA1" s="88" t="s">
        <v>235</v>
      </c>
      <c r="AB1" s="89"/>
      <c r="AC1" s="90"/>
      <c r="AD1" s="88" t="s">
        <v>236</v>
      </c>
      <c r="AE1" s="89"/>
      <c r="AF1" s="90"/>
    </row>
    <row r="2" spans="1:33" ht="17.25" customHeight="1" x14ac:dyDescent="0.35">
      <c r="A2" s="37" t="s">
        <v>237</v>
      </c>
      <c r="C2" s="38" t="e">
        <f>+#REF!</f>
        <v>#REF!</v>
      </c>
      <c r="D2" s="39" t="e">
        <f>+#REF!</f>
        <v>#REF!</v>
      </c>
      <c r="E2" s="39" t="e">
        <f>+#REF!</f>
        <v>#REF!</v>
      </c>
      <c r="J2" s="40" t="s">
        <v>233</v>
      </c>
      <c r="K2" s="41" t="e">
        <f>+COUNTIFS(#REF!,$J$2,#REF!,K1)</f>
        <v>#REF!</v>
      </c>
      <c r="L2" s="41" t="e">
        <f>+COUNTIFS(#REF!,$J$2,#REF!,L1)</f>
        <v>#REF!</v>
      </c>
      <c r="M2" s="41" t="e">
        <f>+COUNTIFS(#REF!,$J$2,#REF!,M1)</f>
        <v>#REF!</v>
      </c>
      <c r="N2" s="41" t="e">
        <f>+COUNTIFS(#REF!,$J$2,#REF!,N1)</f>
        <v>#REF!</v>
      </c>
      <c r="O2" s="41" t="e">
        <f>+COUNTIFS(#REF!,$J$2,#REF!,O1)</f>
        <v>#REF!</v>
      </c>
      <c r="P2" s="41" t="e">
        <f>+COUNTIFS(#REF!,$J$2,#REF!,P1)</f>
        <v>#REF!</v>
      </c>
      <c r="Q2" s="41" t="e">
        <f>+COUNTIFS(#REF!,$J$2,#REF!,Q1)</f>
        <v>#REF!</v>
      </c>
      <c r="R2" s="42" t="e">
        <f>SUM(K2:Q2)</f>
        <v>#REF!</v>
      </c>
      <c r="T2" s="43" t="s">
        <v>238</v>
      </c>
      <c r="U2" s="44" t="s">
        <v>18</v>
      </c>
      <c r="V2" s="34" t="s">
        <v>28</v>
      </c>
      <c r="W2" s="45" t="s">
        <v>93</v>
      </c>
      <c r="X2" s="44" t="s">
        <v>18</v>
      </c>
      <c r="Y2" s="34" t="s">
        <v>28</v>
      </c>
      <c r="Z2" s="45" t="s">
        <v>93</v>
      </c>
      <c r="AA2" s="44" t="s">
        <v>18</v>
      </c>
      <c r="AB2" s="34" t="s">
        <v>28</v>
      </c>
      <c r="AC2" s="45" t="s">
        <v>93</v>
      </c>
      <c r="AD2" s="44" t="s">
        <v>18</v>
      </c>
      <c r="AE2" s="34" t="s">
        <v>28</v>
      </c>
      <c r="AF2" s="45" t="s">
        <v>93</v>
      </c>
      <c r="AG2" s="46" t="s">
        <v>232</v>
      </c>
    </row>
    <row r="3" spans="1:33" x14ac:dyDescent="0.3">
      <c r="A3" s="47" t="s">
        <v>239</v>
      </c>
      <c r="C3" s="38" t="e">
        <f>+#REF!</f>
        <v>#REF!</v>
      </c>
      <c r="D3" s="39" t="e">
        <f>+#REF!</f>
        <v>#REF!</v>
      </c>
      <c r="E3" s="39" t="e">
        <f>+#REF!</f>
        <v>#REF!</v>
      </c>
      <c r="J3" s="40" t="s">
        <v>234</v>
      </c>
      <c r="K3" s="41" t="e">
        <f>+COUNTIFS(#REF!,$J$3,#REF!,K1)</f>
        <v>#REF!</v>
      </c>
      <c r="L3" s="41" t="e">
        <f>+COUNTIFS(#REF!,$J$3,#REF!,L1)</f>
        <v>#REF!</v>
      </c>
      <c r="M3" s="41" t="e">
        <f>+COUNTIFS(#REF!,$J$3,#REF!,M1)</f>
        <v>#REF!</v>
      </c>
      <c r="N3" s="41" t="e">
        <f>+COUNTIFS(#REF!,$J$3,#REF!,N1)</f>
        <v>#REF!</v>
      </c>
      <c r="O3" s="41" t="e">
        <f>+COUNTIFS(#REF!,$J$3,#REF!,O1)</f>
        <v>#REF!</v>
      </c>
      <c r="P3" s="41" t="e">
        <f>+COUNTIFS(#REF!,$J$3,#REF!,P1)</f>
        <v>#REF!</v>
      </c>
      <c r="Q3" s="41" t="e">
        <f>+COUNTIFS(#REF!,$J$3,#REF!,Q1)</f>
        <v>#REF!</v>
      </c>
      <c r="R3" s="42" t="e">
        <f>SUM(K3:Q3)</f>
        <v>#REF!</v>
      </c>
      <c r="T3" s="48" t="s">
        <v>225</v>
      </c>
      <c r="U3" s="49" t="e">
        <f>+COUNTIFS(#REF!,Listas!$G$2,#REF!,Listas!$F2,#REF!,Listas!$H$2)</f>
        <v>#REF!</v>
      </c>
      <c r="V3" s="41" t="e">
        <f>+COUNTIFS(#REF!,Listas!$G$2,#REF!,Listas!$F2,#REF!,Listas!$H$3)</f>
        <v>#REF!</v>
      </c>
      <c r="W3" s="50" t="e">
        <f>+COUNTIFS(#REF!,Listas!$G$2,#REF!,Listas!$F2,#REF!,Listas!$H$4)</f>
        <v>#REF!</v>
      </c>
      <c r="X3" s="49" t="e">
        <f>+COUNTIFS(#REF!,Listas!$G$3,#REF!,Listas!$F2,#REF!,Listas!$H$2)</f>
        <v>#REF!</v>
      </c>
      <c r="Y3" s="41" t="e">
        <f>+COUNTIFS(#REF!,Listas!$G$3,#REF!,Listas!$F2,#REF!,Listas!$H$3)</f>
        <v>#REF!</v>
      </c>
      <c r="Z3" s="50" t="e">
        <f>+COUNTIFS(#REF!,Listas!$G$3,#REF!,Listas!$F2,#REF!,Listas!$H$4)</f>
        <v>#REF!</v>
      </c>
      <c r="AA3" s="49" t="e">
        <f>+COUNTIFS(#REF!,Listas!$G$4,#REF!,Listas!$F2,#REF!,Listas!$H$2)</f>
        <v>#REF!</v>
      </c>
      <c r="AB3" s="41" t="e">
        <f>+COUNTIFS(#REF!,Listas!$G$4,#REF!,Listas!$F2,#REF!,Listas!$H$3)</f>
        <v>#REF!</v>
      </c>
      <c r="AC3" s="50" t="e">
        <f>+COUNTIFS(#REF!,Listas!$G$4,#REF!,Listas!$F2,#REF!,Listas!$H$4)</f>
        <v>#REF!</v>
      </c>
      <c r="AD3" s="49" t="e">
        <f>+COUNTIFS(#REF!,Listas!$G$5,#REF!,Listas!$F2,#REF!,Listas!$H$2)</f>
        <v>#REF!</v>
      </c>
      <c r="AE3" s="41" t="e">
        <f>+COUNTIFS(#REF!,Listas!$G$5,#REF!,Listas!$F2,#REF!,Listas!$H$3)</f>
        <v>#REF!</v>
      </c>
      <c r="AF3" s="50" t="e">
        <f>+COUNTIFS(#REF!,Listas!$G$5,#REF!,Listas!$F2,#REF!,Listas!$H$4)</f>
        <v>#REF!</v>
      </c>
      <c r="AG3" s="51" t="e">
        <f t="shared" ref="AG3:AG9" si="0">SUM(U3:AF3)</f>
        <v>#REF!</v>
      </c>
    </row>
    <row r="4" spans="1:33" x14ac:dyDescent="0.3">
      <c r="A4" s="52">
        <v>45292</v>
      </c>
      <c r="C4" s="38" t="e">
        <f>+#REF!</f>
        <v>#REF!</v>
      </c>
      <c r="D4" s="39" t="e">
        <f>+#REF!</f>
        <v>#REF!</v>
      </c>
      <c r="E4" s="39" t="e">
        <f>+#REF!</f>
        <v>#REF!</v>
      </c>
      <c r="J4" s="40" t="s">
        <v>240</v>
      </c>
      <c r="K4" s="41" t="e">
        <f>+COUNTIFS(#REF!,$J$4,#REF!,K1)</f>
        <v>#REF!</v>
      </c>
      <c r="L4" s="41" t="e">
        <f>+COUNTIFS(#REF!,$J$4,#REF!,L1)</f>
        <v>#REF!</v>
      </c>
      <c r="M4" s="41" t="e">
        <f>+COUNTIFS(#REF!,$J$4,#REF!,M1)</f>
        <v>#REF!</v>
      </c>
      <c r="N4" s="41" t="e">
        <f>+COUNTIFS(#REF!,$J$4,#REF!,N1)</f>
        <v>#REF!</v>
      </c>
      <c r="O4" s="41" t="e">
        <f>+COUNTIFS(#REF!,$J$4,#REF!,O1)</f>
        <v>#REF!</v>
      </c>
      <c r="P4" s="41" t="e">
        <f>+COUNTIFS(#REF!,$J$4,#REF!,P1)</f>
        <v>#REF!</v>
      </c>
      <c r="Q4" s="41" t="e">
        <f>+COUNTIFS(#REF!,$J$4,#REF!,Q1)</f>
        <v>#REF!</v>
      </c>
      <c r="R4" s="42" t="e">
        <f>SUM(K4:Q4)</f>
        <v>#REF!</v>
      </c>
      <c r="T4" s="48" t="s">
        <v>226</v>
      </c>
      <c r="U4" s="49" t="e">
        <f>+COUNTIFS(#REF!,Listas!$G$2,#REF!,Listas!$F3,#REF!,Listas!$H$2)</f>
        <v>#REF!</v>
      </c>
      <c r="V4" s="41" t="e">
        <f>+COUNTIFS(#REF!,Listas!$G$2,#REF!,Listas!$F3,#REF!,Listas!$H$3)</f>
        <v>#REF!</v>
      </c>
      <c r="W4" s="50" t="e">
        <f>+COUNTIFS(#REF!,Listas!$G$2,#REF!,Listas!$F3,#REF!,Listas!$H$4)</f>
        <v>#REF!</v>
      </c>
      <c r="X4" s="49" t="e">
        <f>+COUNTIFS(#REF!,Listas!$G$3,#REF!,Listas!$F3,#REF!,Listas!$H$2)</f>
        <v>#REF!</v>
      </c>
      <c r="Y4" s="41" t="e">
        <f>+COUNTIFS(#REF!,Listas!$G$3,#REF!,Listas!$F3,#REF!,Listas!$H$3)</f>
        <v>#REF!</v>
      </c>
      <c r="Z4" s="50" t="e">
        <f>+COUNTIFS(#REF!,Listas!$G$3,#REF!,Listas!$F3,#REF!,Listas!$H$4)</f>
        <v>#REF!</v>
      </c>
      <c r="AA4" s="49" t="e">
        <f>+COUNTIFS(#REF!,Listas!$G$4,#REF!,Listas!$F3,#REF!,Listas!$H$2)</f>
        <v>#REF!</v>
      </c>
      <c r="AB4" s="41" t="e">
        <f>+COUNTIFS(#REF!,Listas!$G$4,#REF!,Listas!$F3,#REF!,Listas!$H$3)</f>
        <v>#REF!</v>
      </c>
      <c r="AC4" s="50" t="e">
        <f>+COUNTIFS(#REF!,Listas!$G$4,#REF!,Listas!$F3,#REF!,Listas!$H$4)</f>
        <v>#REF!</v>
      </c>
      <c r="AD4" s="49" t="e">
        <f>+COUNTIFS(#REF!,Listas!$G$5,#REF!,Listas!$F3,#REF!,Listas!$H$2)</f>
        <v>#REF!</v>
      </c>
      <c r="AE4" s="41" t="e">
        <f>+COUNTIFS(#REF!,Listas!$G$5,#REF!,Listas!$F3,#REF!,Listas!$H$3)</f>
        <v>#REF!</v>
      </c>
      <c r="AF4" s="50" t="e">
        <f>+COUNTIFS(#REF!,Listas!$G$5,#REF!,Listas!$F3,#REF!,Listas!$H$4)</f>
        <v>#REF!</v>
      </c>
      <c r="AG4" s="51" t="e">
        <f t="shared" si="0"/>
        <v>#REF!</v>
      </c>
    </row>
    <row r="5" spans="1:33" x14ac:dyDescent="0.3">
      <c r="A5" s="52">
        <v>45299</v>
      </c>
      <c r="C5" s="38" t="e">
        <f>+#REF!</f>
        <v>#REF!</v>
      </c>
      <c r="D5" s="39" t="e">
        <f>+#REF!</f>
        <v>#REF!</v>
      </c>
      <c r="E5" s="39" t="e">
        <f>+#REF!</f>
        <v>#REF!</v>
      </c>
      <c r="J5" s="40" t="s">
        <v>236</v>
      </c>
      <c r="K5" s="41" t="e">
        <f>+COUNTIFS(#REF!,$J$5,#REF!,K1)</f>
        <v>#REF!</v>
      </c>
      <c r="L5" s="41" t="e">
        <f>+COUNTIFS(#REF!,$J$5,#REF!,L1)</f>
        <v>#REF!</v>
      </c>
      <c r="M5" s="41" t="e">
        <f>+COUNTIFS(#REF!,$J$5,#REF!,M1)</f>
        <v>#REF!</v>
      </c>
      <c r="N5" s="41" t="e">
        <f>+COUNTIFS(#REF!,$J$5,#REF!,N1)</f>
        <v>#REF!</v>
      </c>
      <c r="O5" s="41" t="e">
        <f>+COUNTIFS(#REF!,$J$5,#REF!,O1)</f>
        <v>#REF!</v>
      </c>
      <c r="P5" s="41" t="e">
        <f>+COUNTIFS(#REF!,$J$5,#REF!,P1)</f>
        <v>#REF!</v>
      </c>
      <c r="Q5" s="41" t="e">
        <f>+COUNTIFS(#REF!,$J$5,#REF!,Q1)</f>
        <v>#REF!</v>
      </c>
      <c r="R5" s="42" t="e">
        <f>SUM(K5:Q5)</f>
        <v>#REF!</v>
      </c>
      <c r="T5" s="48" t="s">
        <v>227</v>
      </c>
      <c r="U5" s="49" t="e">
        <f>+COUNTIFS(#REF!,Listas!$G$2,#REF!,Listas!$F4,#REF!,Listas!$H$2)</f>
        <v>#REF!</v>
      </c>
      <c r="V5" s="41" t="e">
        <f>+COUNTIFS(#REF!,Listas!$G$2,#REF!,Listas!$F4,#REF!,Listas!$H$3)</f>
        <v>#REF!</v>
      </c>
      <c r="W5" s="50" t="e">
        <f>+COUNTIFS(#REF!,Listas!$G$2,#REF!,Listas!$F4,#REF!,Listas!$H$4)</f>
        <v>#REF!</v>
      </c>
      <c r="X5" s="49" t="e">
        <f>+COUNTIFS(#REF!,Listas!$G$3,#REF!,Listas!$F4,#REF!,Listas!$H$2)</f>
        <v>#REF!</v>
      </c>
      <c r="Y5" s="41" t="e">
        <f>+COUNTIFS(#REF!,Listas!$G$3,#REF!,Listas!$F4,#REF!,Listas!$H$3)</f>
        <v>#REF!</v>
      </c>
      <c r="Z5" s="50" t="e">
        <f>+COUNTIFS(#REF!,Listas!$G$3,#REF!,Listas!$F4,#REF!,Listas!$H$4)</f>
        <v>#REF!</v>
      </c>
      <c r="AA5" s="49" t="e">
        <f>+COUNTIFS(#REF!,Listas!$G$4,#REF!,Listas!$F4,#REF!,Listas!$H$2)</f>
        <v>#REF!</v>
      </c>
      <c r="AB5" s="41" t="e">
        <f>+COUNTIFS(#REF!,Listas!$G$4,#REF!,Listas!$F4,#REF!,Listas!$H$3)</f>
        <v>#REF!</v>
      </c>
      <c r="AC5" s="50" t="e">
        <f>+COUNTIFS(#REF!,Listas!$G$4,#REF!,Listas!$F4,#REF!,Listas!$H$4)</f>
        <v>#REF!</v>
      </c>
      <c r="AD5" s="49" t="e">
        <f>+COUNTIFS(#REF!,Listas!$G$5,#REF!,Listas!$F4,#REF!,Listas!$H$2)</f>
        <v>#REF!</v>
      </c>
      <c r="AE5" s="41" t="e">
        <f>+COUNTIFS(#REF!,Listas!$G$5,#REF!,Listas!$F4,#REF!,Listas!$H$3)</f>
        <v>#REF!</v>
      </c>
      <c r="AF5" s="50" t="e">
        <f>+COUNTIFS(#REF!,Listas!$G$5,#REF!,Listas!$F4,#REF!,Listas!$H$4)</f>
        <v>#REF!</v>
      </c>
      <c r="AG5" s="51" t="e">
        <f t="shared" si="0"/>
        <v>#REF!</v>
      </c>
    </row>
    <row r="6" spans="1:33" ht="20.25" customHeight="1" x14ac:dyDescent="0.3">
      <c r="A6" s="52">
        <v>45376</v>
      </c>
      <c r="C6" s="38" t="e">
        <f>+#REF!</f>
        <v>#REF!</v>
      </c>
      <c r="D6" s="39" t="e">
        <f>+#REF!</f>
        <v>#REF!</v>
      </c>
      <c r="E6" s="39" t="e">
        <f>+#REF!</f>
        <v>#REF!</v>
      </c>
      <c r="J6" s="53" t="s">
        <v>241</v>
      </c>
      <c r="K6" s="42" t="e">
        <f t="shared" ref="K6:R6" si="1">SUM(K2:K5)</f>
        <v>#REF!</v>
      </c>
      <c r="L6" s="42" t="e">
        <f t="shared" si="1"/>
        <v>#REF!</v>
      </c>
      <c r="M6" s="42" t="e">
        <f t="shared" si="1"/>
        <v>#REF!</v>
      </c>
      <c r="N6" s="42" t="e">
        <f t="shared" si="1"/>
        <v>#REF!</v>
      </c>
      <c r="O6" s="42" t="e">
        <f t="shared" si="1"/>
        <v>#REF!</v>
      </c>
      <c r="P6" s="42" t="e">
        <f t="shared" si="1"/>
        <v>#REF!</v>
      </c>
      <c r="Q6" s="42" t="e">
        <f t="shared" si="1"/>
        <v>#REF!</v>
      </c>
      <c r="R6" s="42" t="e">
        <f t="shared" si="1"/>
        <v>#REF!</v>
      </c>
      <c r="T6" s="48" t="s">
        <v>228</v>
      </c>
      <c r="U6" s="49" t="e">
        <f>+COUNTIFS(#REF!,Listas!$G$2,#REF!,Listas!$F5,#REF!,Listas!$H$2)</f>
        <v>#REF!</v>
      </c>
      <c r="V6" s="41" t="e">
        <f>+COUNTIFS(#REF!,Listas!$G$2,#REF!,Listas!$F5,#REF!,Listas!$H$3)</f>
        <v>#REF!</v>
      </c>
      <c r="W6" s="50" t="e">
        <f>+COUNTIFS(#REF!,Listas!$G$2,#REF!,Listas!$F5,#REF!,Listas!$H$4)</f>
        <v>#REF!</v>
      </c>
      <c r="X6" s="49" t="e">
        <f>+COUNTIFS(#REF!,Listas!$G$3,#REF!,Listas!$F5,#REF!,Listas!$H$2)</f>
        <v>#REF!</v>
      </c>
      <c r="Y6" s="41" t="e">
        <f>+COUNTIFS(#REF!,Listas!$G$3,#REF!,Listas!$F5,#REF!,Listas!$H$3)</f>
        <v>#REF!</v>
      </c>
      <c r="Z6" s="50" t="e">
        <f>+COUNTIFS(#REF!,Listas!$G$3,#REF!,Listas!$F5,#REF!,Listas!$H$4)</f>
        <v>#REF!</v>
      </c>
      <c r="AA6" s="49" t="e">
        <f>+COUNTIFS(#REF!,Listas!$G$4,#REF!,Listas!$F5,#REF!,Listas!$H$2)</f>
        <v>#REF!</v>
      </c>
      <c r="AB6" s="41" t="e">
        <f>+COUNTIFS(#REF!,Listas!$G$4,#REF!,Listas!$F5,#REF!,Listas!$H$3)</f>
        <v>#REF!</v>
      </c>
      <c r="AC6" s="50" t="e">
        <f>+COUNTIFS(#REF!,Listas!$G$4,#REF!,Listas!$F5,#REF!,Listas!$H$4)</f>
        <v>#REF!</v>
      </c>
      <c r="AD6" s="49" t="e">
        <f>+COUNTIFS(#REF!,Listas!$G$5,#REF!,Listas!$F5,#REF!,Listas!$H$2)</f>
        <v>#REF!</v>
      </c>
      <c r="AE6" s="41" t="e">
        <f>+COUNTIFS(#REF!,Listas!$G$5,#REF!,Listas!$F5,#REF!,Listas!$H$3)</f>
        <v>#REF!</v>
      </c>
      <c r="AF6" s="50" t="e">
        <f>+COUNTIFS(#REF!,Listas!$G$5,#REF!,Listas!$F5,#REF!,Listas!$H$4)</f>
        <v>#REF!</v>
      </c>
      <c r="AG6" s="51" t="e">
        <f t="shared" si="0"/>
        <v>#REF!</v>
      </c>
    </row>
    <row r="7" spans="1:33" x14ac:dyDescent="0.3">
      <c r="A7" s="52">
        <v>45379</v>
      </c>
      <c r="C7" s="38" t="e">
        <f>+#REF!</f>
        <v>#REF!</v>
      </c>
      <c r="D7" s="39" t="e">
        <f>+#REF!</f>
        <v>#REF!</v>
      </c>
      <c r="E7" s="39" t="e">
        <f>+#REF!</f>
        <v>#REF!</v>
      </c>
      <c r="J7" s="30"/>
      <c r="K7" s="30"/>
      <c r="L7" s="30"/>
      <c r="M7" s="30"/>
      <c r="N7" s="30"/>
      <c r="O7" s="30"/>
      <c r="P7" s="30"/>
      <c r="Q7" s="30"/>
      <c r="R7" s="54" t="e">
        <f>SUM(K6:Q6)</f>
        <v>#REF!</v>
      </c>
      <c r="T7" s="48" t="s">
        <v>229</v>
      </c>
      <c r="U7" s="49" t="e">
        <f>+COUNTIFS(#REF!,Listas!$G$2,#REF!,Listas!$F6,#REF!,Listas!$H$2)</f>
        <v>#REF!</v>
      </c>
      <c r="V7" s="41" t="e">
        <f>+COUNTIFS(#REF!,Listas!$G$2,#REF!,Listas!$F6,#REF!,Listas!$H$3)</f>
        <v>#REF!</v>
      </c>
      <c r="W7" s="50" t="e">
        <f>+COUNTIFS(#REF!,Listas!$G$2,#REF!,Listas!$F6,#REF!,Listas!$H$4)</f>
        <v>#REF!</v>
      </c>
      <c r="X7" s="49" t="e">
        <f>+COUNTIFS(#REF!,Listas!$G$3,#REF!,Listas!$F6,#REF!,Listas!$H$2)</f>
        <v>#REF!</v>
      </c>
      <c r="Y7" s="41" t="e">
        <f>+COUNTIFS(#REF!,Listas!$G$3,#REF!,Listas!$F6,#REF!,Listas!$H$3)</f>
        <v>#REF!</v>
      </c>
      <c r="Z7" s="50" t="e">
        <f>+COUNTIFS(#REF!,Listas!$G$3,#REF!,Listas!$F6,#REF!,Listas!$H$4)</f>
        <v>#REF!</v>
      </c>
      <c r="AA7" s="49" t="e">
        <f>+COUNTIFS(#REF!,Listas!$G$4,#REF!,Listas!$F6,#REF!,Listas!$H$2)</f>
        <v>#REF!</v>
      </c>
      <c r="AB7" s="41" t="e">
        <f>+COUNTIFS(#REF!,Listas!$G$4,#REF!,Listas!$F6,#REF!,Listas!$H$3)</f>
        <v>#REF!</v>
      </c>
      <c r="AC7" s="50" t="e">
        <f>+COUNTIFS(#REF!,Listas!$G$4,#REF!,Listas!$F6,#REF!,Listas!$H$4)</f>
        <v>#REF!</v>
      </c>
      <c r="AD7" s="49" t="e">
        <f>+COUNTIFS(#REF!,Listas!$G$5,#REF!,Listas!$F6,#REF!,Listas!$H$2)</f>
        <v>#REF!</v>
      </c>
      <c r="AE7" s="41" t="e">
        <f>+COUNTIFS(#REF!,Listas!$G$5,#REF!,Listas!$F6,#REF!,Listas!$H$3)</f>
        <v>#REF!</v>
      </c>
      <c r="AF7" s="50" t="e">
        <f>+COUNTIFS(#REF!,Listas!$G$5,#REF!,Listas!$F6,#REF!,Listas!$H$4)</f>
        <v>#REF!</v>
      </c>
      <c r="AG7" s="51" t="e">
        <f t="shared" si="0"/>
        <v>#REF!</v>
      </c>
    </row>
    <row r="8" spans="1:33" x14ac:dyDescent="0.3">
      <c r="A8" s="52">
        <v>45745</v>
      </c>
      <c r="C8" s="38" t="e">
        <f>+#REF!</f>
        <v>#REF!</v>
      </c>
      <c r="D8" s="39" t="e">
        <f>+#REF!</f>
        <v>#REF!</v>
      </c>
      <c r="E8" s="39" t="e">
        <f>+#REF!</f>
        <v>#REF!</v>
      </c>
      <c r="H8" s="55"/>
      <c r="I8" s="55"/>
      <c r="J8" s="30"/>
      <c r="K8" s="30"/>
      <c r="L8" s="30"/>
      <c r="M8" s="30"/>
      <c r="N8" s="30"/>
      <c r="O8" s="30"/>
      <c r="P8" s="30"/>
      <c r="Q8" s="30"/>
      <c r="R8" s="30"/>
      <c r="T8" s="48" t="s">
        <v>230</v>
      </c>
      <c r="U8" s="49" t="e">
        <f>+COUNTIFS(#REF!,Listas!$G$2,#REF!,Listas!$F7,#REF!,Listas!$H$2)</f>
        <v>#REF!</v>
      </c>
      <c r="V8" s="41" t="e">
        <f>+COUNTIFS(#REF!,Listas!$G$2,#REF!,Listas!$F7,#REF!,Listas!$H$3)</f>
        <v>#REF!</v>
      </c>
      <c r="W8" s="50" t="e">
        <f>+COUNTIFS(#REF!,Listas!$G$2,#REF!,Listas!$F7,#REF!,Listas!$H$4)</f>
        <v>#REF!</v>
      </c>
      <c r="X8" s="49" t="e">
        <f>+COUNTIFS(#REF!,Listas!$G$3,#REF!,Listas!$F7,#REF!,Listas!$H$2)</f>
        <v>#REF!</v>
      </c>
      <c r="Y8" s="41" t="e">
        <f>+COUNTIFS(#REF!,Listas!$G$3,#REF!,Listas!$F7,#REF!,Listas!$H$3)</f>
        <v>#REF!</v>
      </c>
      <c r="Z8" s="50" t="e">
        <f>+COUNTIFS(#REF!,Listas!$G$3,#REF!,Listas!$F7,#REF!,Listas!$H$4)</f>
        <v>#REF!</v>
      </c>
      <c r="AA8" s="49" t="e">
        <f>+COUNTIFS(#REF!,Listas!$G$4,#REF!,Listas!$F7,#REF!,Listas!$H$2)</f>
        <v>#REF!</v>
      </c>
      <c r="AB8" s="41" t="e">
        <f>+COUNTIFS(#REF!,Listas!$G$4,#REF!,Listas!$F7,#REF!,Listas!$H$3)</f>
        <v>#REF!</v>
      </c>
      <c r="AC8" s="50" t="e">
        <f>+COUNTIFS(#REF!,Listas!$G$4,#REF!,Listas!$F7,#REF!,Listas!$H$4)</f>
        <v>#REF!</v>
      </c>
      <c r="AD8" s="49" t="e">
        <f>+COUNTIFS(#REF!,Listas!$G$5,#REF!,Listas!$F7,#REF!,Listas!$H$2)</f>
        <v>#REF!</v>
      </c>
      <c r="AE8" s="41" t="e">
        <f>+COUNTIFS(#REF!,Listas!$G$5,#REF!,Listas!$F7,#REF!,Listas!$H$3)</f>
        <v>#REF!</v>
      </c>
      <c r="AF8" s="50" t="e">
        <f>+COUNTIFS(#REF!,Listas!$G$5,#REF!,Listas!$F7,#REF!,Listas!$H$4)</f>
        <v>#REF!</v>
      </c>
      <c r="AG8" s="51" t="e">
        <f t="shared" si="0"/>
        <v>#REF!</v>
      </c>
    </row>
    <row r="9" spans="1:33" x14ac:dyDescent="0.3">
      <c r="A9" s="52">
        <v>45413</v>
      </c>
      <c r="C9" s="38" t="e">
        <f>+#REF!</f>
        <v>#REF!</v>
      </c>
      <c r="D9" s="39" t="e">
        <f>+#REF!</f>
        <v>#REF!</v>
      </c>
      <c r="E9" s="39" t="e">
        <f>+#REF!</f>
        <v>#REF!</v>
      </c>
      <c r="T9" s="48" t="s">
        <v>231</v>
      </c>
      <c r="U9" s="49" t="e">
        <f>+COUNTIFS(#REF!,Listas!$G$2,#REF!,Listas!$F8,#REF!,Listas!$H$2)</f>
        <v>#REF!</v>
      </c>
      <c r="V9" s="41" t="e">
        <f>+COUNTIFS(#REF!,Listas!$G$2,#REF!,Listas!$F8,#REF!,Listas!$H$3)</f>
        <v>#REF!</v>
      </c>
      <c r="W9" s="50" t="e">
        <f>+COUNTIFS(#REF!,Listas!$G$2,#REF!,Listas!$F8,#REF!,Listas!$H$4)</f>
        <v>#REF!</v>
      </c>
      <c r="X9" s="49" t="e">
        <f>+COUNTIFS(#REF!,Listas!$G$3,#REF!,Listas!$F8,#REF!,Listas!$H$2)</f>
        <v>#REF!</v>
      </c>
      <c r="Y9" s="41" t="e">
        <f>+COUNTIFS(#REF!,Listas!$G$3,#REF!,Listas!$F8,#REF!,Listas!$H$3)</f>
        <v>#REF!</v>
      </c>
      <c r="Z9" s="50" t="e">
        <f>+COUNTIFS(#REF!,Listas!$G$3,#REF!,Listas!$F8,#REF!,Listas!$H$4)</f>
        <v>#REF!</v>
      </c>
      <c r="AA9" s="49" t="e">
        <f>+COUNTIFS(#REF!,Listas!$G$4,#REF!,Listas!$F8,#REF!,Listas!$H$2)</f>
        <v>#REF!</v>
      </c>
      <c r="AB9" s="41" t="e">
        <f>+COUNTIFS(#REF!,Listas!$G$4,#REF!,Listas!$F8,#REF!,Listas!$H$3)</f>
        <v>#REF!</v>
      </c>
      <c r="AC9" s="50" t="e">
        <f>+COUNTIFS(#REF!,Listas!$G$4,#REF!,Listas!$F8,#REF!,Listas!$H$4)</f>
        <v>#REF!</v>
      </c>
      <c r="AD9" s="49" t="e">
        <f>+COUNTIFS(#REF!,Listas!$G$5,#REF!,Listas!$F8,#REF!,Listas!$H$2)</f>
        <v>#REF!</v>
      </c>
      <c r="AE9" s="41" t="e">
        <f>+COUNTIFS(#REF!,Listas!$G$5,#REF!,Listas!$F8,#REF!,Listas!$H$3)</f>
        <v>#REF!</v>
      </c>
      <c r="AF9" s="50" t="e">
        <f>+COUNTIFS(#REF!,Listas!$G$5,#REF!,Listas!$F8,#REF!,Listas!$H$4)</f>
        <v>#REF!</v>
      </c>
      <c r="AG9" s="51" t="e">
        <f t="shared" si="0"/>
        <v>#REF!</v>
      </c>
    </row>
    <row r="10" spans="1:33" x14ac:dyDescent="0.3">
      <c r="A10" s="52">
        <v>45425</v>
      </c>
      <c r="C10" s="38" t="e">
        <f>+#REF!</f>
        <v>#REF!</v>
      </c>
      <c r="D10" s="39" t="e">
        <f>+#REF!</f>
        <v>#REF!</v>
      </c>
      <c r="E10" s="39" t="e">
        <f>+#REF!</f>
        <v>#REF!</v>
      </c>
      <c r="J10" s="56" t="s">
        <v>238</v>
      </c>
      <c r="T10" s="57" t="s">
        <v>241</v>
      </c>
      <c r="U10" s="58" t="e">
        <f t="shared" ref="U10:AG10" si="2">SUM(U3:U9)</f>
        <v>#REF!</v>
      </c>
      <c r="V10" s="42" t="e">
        <f t="shared" si="2"/>
        <v>#REF!</v>
      </c>
      <c r="W10" s="59" t="e">
        <f t="shared" si="2"/>
        <v>#REF!</v>
      </c>
      <c r="X10" s="58" t="e">
        <f t="shared" si="2"/>
        <v>#REF!</v>
      </c>
      <c r="Y10" s="42" t="e">
        <f t="shared" si="2"/>
        <v>#REF!</v>
      </c>
      <c r="Z10" s="59" t="e">
        <f t="shared" si="2"/>
        <v>#REF!</v>
      </c>
      <c r="AA10" s="58" t="e">
        <f t="shared" si="2"/>
        <v>#REF!</v>
      </c>
      <c r="AB10" s="42" t="e">
        <f t="shared" si="2"/>
        <v>#REF!</v>
      </c>
      <c r="AC10" s="59" t="e">
        <f t="shared" si="2"/>
        <v>#REF!</v>
      </c>
      <c r="AD10" s="58" t="e">
        <f t="shared" si="2"/>
        <v>#REF!</v>
      </c>
      <c r="AE10" s="42" t="e">
        <f t="shared" si="2"/>
        <v>#REF!</v>
      </c>
      <c r="AF10" s="59" t="e">
        <f t="shared" si="2"/>
        <v>#REF!</v>
      </c>
      <c r="AG10" s="51" t="e">
        <f t="shared" si="2"/>
        <v>#REF!</v>
      </c>
    </row>
    <row r="11" spans="1:33" ht="15" customHeight="1" x14ac:dyDescent="0.3">
      <c r="A11" s="52">
        <v>45446</v>
      </c>
      <c r="C11" s="38" t="e">
        <f>+#REF!</f>
        <v>#REF!</v>
      </c>
      <c r="D11" s="39" t="e">
        <f>+#REF!</f>
        <v>#REF!</v>
      </c>
      <c r="E11" s="39" t="e">
        <f>+#REF!</f>
        <v>#REF!</v>
      </c>
      <c r="U11" s="91" t="e">
        <f>SUM(U10:W10)</f>
        <v>#REF!</v>
      </c>
      <c r="V11" s="86"/>
      <c r="W11" s="92"/>
      <c r="X11" s="85" t="e">
        <f>SUM(X10:Z10)</f>
        <v>#REF!</v>
      </c>
      <c r="Y11" s="86"/>
      <c r="Z11" s="87"/>
      <c r="AA11" s="85" t="e">
        <f>SUM(AA10:AC10)</f>
        <v>#REF!</v>
      </c>
      <c r="AB11" s="86"/>
      <c r="AC11" s="87"/>
      <c r="AD11" s="85" t="e">
        <f>SUM(AD10:AF10)</f>
        <v>#REF!</v>
      </c>
      <c r="AE11" s="86"/>
      <c r="AF11" s="87"/>
    </row>
    <row r="12" spans="1:33" x14ac:dyDescent="0.3">
      <c r="A12" s="52">
        <v>45453</v>
      </c>
      <c r="C12" s="38" t="e">
        <f>+#REF!</f>
        <v>#REF!</v>
      </c>
      <c r="D12" s="39" t="e">
        <f>+#REF!</f>
        <v>#REF!</v>
      </c>
      <c r="E12" s="39" t="e">
        <f>+#REF!</f>
        <v>#REF!</v>
      </c>
    </row>
    <row r="13" spans="1:33" x14ac:dyDescent="0.3">
      <c r="A13" s="52">
        <v>45474</v>
      </c>
      <c r="C13" s="38" t="e">
        <f>+#REF!</f>
        <v>#REF!</v>
      </c>
      <c r="D13" s="39" t="e">
        <f>+#REF!</f>
        <v>#REF!</v>
      </c>
      <c r="E13" s="39" t="e">
        <f>+#REF!</f>
        <v>#REF!</v>
      </c>
    </row>
    <row r="14" spans="1:33" x14ac:dyDescent="0.3">
      <c r="A14" s="52">
        <v>45493</v>
      </c>
      <c r="C14" s="38" t="e">
        <f>+#REF!</f>
        <v>#REF!</v>
      </c>
      <c r="D14" s="39" t="e">
        <f>+#REF!</f>
        <v>#REF!</v>
      </c>
      <c r="E14" s="39" t="e">
        <f>+#REF!</f>
        <v>#REF!</v>
      </c>
      <c r="H14" s="60"/>
      <c r="I14" s="60"/>
    </row>
    <row r="15" spans="1:33" x14ac:dyDescent="0.3">
      <c r="A15" s="52">
        <v>45511</v>
      </c>
      <c r="C15" s="38" t="e">
        <f>+#REF!</f>
        <v>#REF!</v>
      </c>
      <c r="D15" s="39" t="e">
        <f>+#REF!</f>
        <v>#REF!</v>
      </c>
      <c r="E15" s="39" t="e">
        <f>+#REF!</f>
        <v>#REF!</v>
      </c>
    </row>
    <row r="16" spans="1:33" x14ac:dyDescent="0.3">
      <c r="A16" s="52">
        <v>45579</v>
      </c>
      <c r="C16" s="38" t="e">
        <f>+#REF!</f>
        <v>#REF!</v>
      </c>
      <c r="D16" s="39" t="e">
        <f>+#REF!</f>
        <v>#REF!</v>
      </c>
      <c r="E16" s="39" t="e">
        <f>+#REF!</f>
        <v>#REF!</v>
      </c>
    </row>
    <row r="17" spans="1:5" x14ac:dyDescent="0.3">
      <c r="A17" s="52">
        <v>45600</v>
      </c>
      <c r="C17" s="38" t="e">
        <f>+#REF!</f>
        <v>#REF!</v>
      </c>
      <c r="D17" s="39" t="e">
        <f>+#REF!</f>
        <v>#REF!</v>
      </c>
      <c r="E17" s="39" t="e">
        <f>+#REF!</f>
        <v>#REF!</v>
      </c>
    </row>
    <row r="18" spans="1:5" x14ac:dyDescent="0.3">
      <c r="A18" s="52">
        <v>45607</v>
      </c>
      <c r="C18" s="38" t="e">
        <f>+#REF!</f>
        <v>#REF!</v>
      </c>
      <c r="D18" s="39" t="e">
        <f>+#REF!</f>
        <v>#REF!</v>
      </c>
      <c r="E18" s="39" t="e">
        <f>+#REF!</f>
        <v>#REF!</v>
      </c>
    </row>
    <row r="19" spans="1:5" x14ac:dyDescent="0.3">
      <c r="A19" s="52">
        <v>45634</v>
      </c>
      <c r="C19" s="38" t="e">
        <f>+#REF!</f>
        <v>#REF!</v>
      </c>
      <c r="D19" s="39" t="e">
        <f>+#REF!</f>
        <v>#REF!</v>
      </c>
      <c r="E19" s="39" t="e">
        <f>+#REF!</f>
        <v>#REF!</v>
      </c>
    </row>
    <row r="20" spans="1:5" x14ac:dyDescent="0.3">
      <c r="A20" s="52">
        <v>45651</v>
      </c>
      <c r="C20" s="38" t="e">
        <f>+#REF!</f>
        <v>#REF!</v>
      </c>
      <c r="D20" s="39" t="e">
        <f>+#REF!</f>
        <v>#REF!</v>
      </c>
      <c r="E20" s="39" t="e">
        <f>+#REF!</f>
        <v>#REF!</v>
      </c>
    </row>
    <row r="21" spans="1:5" x14ac:dyDescent="0.3">
      <c r="C21" s="38" t="e">
        <f>+#REF!</f>
        <v>#REF!</v>
      </c>
      <c r="D21" s="39" t="e">
        <f>+#REF!</f>
        <v>#REF!</v>
      </c>
      <c r="E21" s="39" t="e">
        <f>+#REF!</f>
        <v>#REF!</v>
      </c>
    </row>
  </sheetData>
  <mergeCells count="8">
    <mergeCell ref="AA11:AC11"/>
    <mergeCell ref="AD1:AF1"/>
    <mergeCell ref="AA1:AC1"/>
    <mergeCell ref="AD11:AF11"/>
    <mergeCell ref="U1:W1"/>
    <mergeCell ref="U11:W11"/>
    <mergeCell ref="X1:Z1"/>
    <mergeCell ref="X11:Z1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O19"/>
  <sheetViews>
    <sheetView zoomScaleNormal="100" workbookViewId="0">
      <selection activeCell="K36" sqref="K36"/>
    </sheetView>
  </sheetViews>
  <sheetFormatPr baseColWidth="10" defaultColWidth="8.6640625" defaultRowHeight="12" x14ac:dyDescent="0.25"/>
  <cols>
    <col min="1" max="1" width="2.44140625" style="61" customWidth="1"/>
    <col min="2" max="2" width="14.33203125" style="61" customWidth="1"/>
    <col min="3" max="3" width="17.6640625" style="61" customWidth="1"/>
    <col min="4" max="4" width="3.109375" style="61" customWidth="1"/>
    <col min="5" max="5" width="3.44140625" style="61" customWidth="1"/>
    <col min="6" max="6" width="13" style="61" customWidth="1"/>
    <col min="7" max="7" width="15" style="61" customWidth="1"/>
    <col min="8" max="8" width="13.109375" style="61" customWidth="1"/>
    <col min="9" max="9" width="22" style="61" customWidth="1"/>
    <col min="10" max="10" width="11.6640625" style="61" customWidth="1"/>
    <col min="11" max="11" width="8.6640625" style="61" customWidth="1"/>
    <col min="12" max="12" width="11.33203125" style="61" customWidth="1"/>
    <col min="13" max="13" width="13" style="61" customWidth="1"/>
    <col min="14" max="14" width="11.44140625" style="61" customWidth="1"/>
    <col min="15" max="15" width="8.6640625" style="61" customWidth="1"/>
    <col min="16" max="16384" width="8.6640625" style="61"/>
  </cols>
  <sheetData>
    <row r="1" spans="2:15" s="62" customFormat="1" ht="30" customHeight="1" x14ac:dyDescent="0.3">
      <c r="B1" s="63" t="s">
        <v>242</v>
      </c>
      <c r="C1" s="63" t="s">
        <v>243</v>
      </c>
      <c r="F1" s="64" t="s">
        <v>244</v>
      </c>
      <c r="G1" s="65" t="s">
        <v>245</v>
      </c>
      <c r="H1" s="64" t="s">
        <v>9</v>
      </c>
      <c r="I1" s="64" t="s">
        <v>246</v>
      </c>
      <c r="J1" s="64" t="s">
        <v>247</v>
      </c>
      <c r="L1" s="66" t="s">
        <v>248</v>
      </c>
      <c r="M1" s="66" t="s">
        <v>249</v>
      </c>
      <c r="N1" s="66" t="s">
        <v>250</v>
      </c>
    </row>
    <row r="2" spans="2:15" x14ac:dyDescent="0.25">
      <c r="B2" s="61" t="s">
        <v>214</v>
      </c>
      <c r="C2" s="61" t="s">
        <v>251</v>
      </c>
      <c r="F2" s="61" t="s">
        <v>225</v>
      </c>
      <c r="G2" s="61" t="s">
        <v>233</v>
      </c>
      <c r="H2" s="61" t="s">
        <v>18</v>
      </c>
      <c r="I2" s="61" t="s">
        <v>18</v>
      </c>
      <c r="J2" s="61" t="s">
        <v>18</v>
      </c>
      <c r="L2" s="61" t="s">
        <v>18</v>
      </c>
      <c r="M2" s="67">
        <v>8</v>
      </c>
      <c r="N2" s="67">
        <v>120</v>
      </c>
    </row>
    <row r="3" spans="2:15" x14ac:dyDescent="0.25">
      <c r="B3" s="61" t="s">
        <v>215</v>
      </c>
      <c r="C3" s="61" t="s">
        <v>252</v>
      </c>
      <c r="F3" s="61" t="s">
        <v>226</v>
      </c>
      <c r="G3" s="61" t="s">
        <v>234</v>
      </c>
      <c r="H3" s="61" t="s">
        <v>253</v>
      </c>
      <c r="I3" s="61" t="s">
        <v>253</v>
      </c>
      <c r="J3" s="61" t="s">
        <v>253</v>
      </c>
      <c r="L3" s="61" t="s">
        <v>253</v>
      </c>
      <c r="M3" s="67">
        <v>4</v>
      </c>
      <c r="N3" s="67">
        <v>35</v>
      </c>
    </row>
    <row r="4" spans="2:15" x14ac:dyDescent="0.25">
      <c r="B4" s="61" t="s">
        <v>216</v>
      </c>
      <c r="C4" s="61" t="s">
        <v>254</v>
      </c>
      <c r="F4" s="61" t="s">
        <v>227</v>
      </c>
      <c r="G4" s="61" t="s">
        <v>240</v>
      </c>
      <c r="H4" s="61" t="s">
        <v>93</v>
      </c>
      <c r="I4" s="61" t="s">
        <v>255</v>
      </c>
      <c r="J4" s="61" t="s">
        <v>93</v>
      </c>
      <c r="L4" s="61" t="s">
        <v>255</v>
      </c>
      <c r="M4" s="68"/>
      <c r="N4" s="67">
        <v>60</v>
      </c>
    </row>
    <row r="5" spans="2:15" x14ac:dyDescent="0.25">
      <c r="B5" s="61" t="s">
        <v>217</v>
      </c>
      <c r="C5" s="61" t="s">
        <v>256</v>
      </c>
      <c r="F5" s="61" t="s">
        <v>228</v>
      </c>
      <c r="G5" s="61" t="s">
        <v>236</v>
      </c>
      <c r="H5" s="61" t="s">
        <v>238</v>
      </c>
      <c r="I5" s="61" t="s">
        <v>257</v>
      </c>
      <c r="L5" s="61" t="s">
        <v>257</v>
      </c>
      <c r="M5" s="68" t="s">
        <v>238</v>
      </c>
      <c r="N5" s="67">
        <v>20</v>
      </c>
    </row>
    <row r="6" spans="2:15" x14ac:dyDescent="0.25">
      <c r="B6" s="61" t="s">
        <v>218</v>
      </c>
      <c r="F6" s="61" t="s">
        <v>229</v>
      </c>
      <c r="H6" s="61" t="s">
        <v>238</v>
      </c>
      <c r="I6" s="61" t="s">
        <v>93</v>
      </c>
      <c r="L6" s="61" t="s">
        <v>93</v>
      </c>
      <c r="M6" s="67">
        <v>3</v>
      </c>
      <c r="N6" s="67">
        <v>15</v>
      </c>
    </row>
    <row r="7" spans="2:15" x14ac:dyDescent="0.25">
      <c r="B7" s="61" t="s">
        <v>219</v>
      </c>
      <c r="F7" s="61" t="s">
        <v>230</v>
      </c>
    </row>
    <row r="8" spans="2:15" x14ac:dyDescent="0.25">
      <c r="B8" s="61" t="s">
        <v>258</v>
      </c>
      <c r="F8" s="61" t="s">
        <v>231</v>
      </c>
    </row>
    <row r="9" spans="2:15" x14ac:dyDescent="0.25">
      <c r="B9" s="61" t="s">
        <v>238</v>
      </c>
    </row>
    <row r="12" spans="2:15" x14ac:dyDescent="0.25">
      <c r="O12" s="61">
        <f>60/4</f>
        <v>15</v>
      </c>
    </row>
    <row r="19" spans="14:14" x14ac:dyDescent="0.25">
      <c r="N19" s="61">
        <f>40*20%</f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Pruebas</vt:lpstr>
      <vt:lpstr>Maestro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Quiñelen</dc:creator>
  <cp:lastModifiedBy>Jaime Quiñelen</cp:lastModifiedBy>
  <cp:revision>0</cp:revision>
  <dcterms:created xsi:type="dcterms:W3CDTF">2015-06-05T18:19:34Z</dcterms:created>
  <dcterms:modified xsi:type="dcterms:W3CDTF">2026-05-24T02:47:50Z</dcterms:modified>
  <dc:language>en-US</dc:language>
</cp:coreProperties>
</file>