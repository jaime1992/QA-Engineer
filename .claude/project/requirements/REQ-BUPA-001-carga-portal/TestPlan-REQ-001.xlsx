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V°B Usuario" sheetId="2" state="visible" r:id="rId2"/>
    <sheet xmlns:r="http://schemas.openxmlformats.org/officeDocument/2006/relationships" name="Ok Técnico" sheetId="3" state="visible" r:id="rId3"/>
  </sheets>
  <definedNames>
    <definedName name="B2B">#REF!</definedName>
    <definedName name="COMPUREDES">#REF!</definedName>
    <definedName name="COPS">#REF!</definedName>
    <definedName name="CRM">#REF!</definedName>
    <definedName name="Desarrollo">#REF!</definedName>
    <definedName name="DIGITAL">#REF!</definedName>
    <definedName name="DTH">#REF!</definedName>
    <definedName name="DWH">#REF!</definedName>
    <definedName name="DWH.">#REF!</definedName>
    <definedName name="EquipoM">#REF!</definedName>
    <definedName name="Estado">#REF!</definedName>
    <definedName name="EstadosBugs">#REF!</definedName>
    <definedName name="Estr">#REF!</definedName>
    <definedName name="Etapa">#REF!</definedName>
    <definedName name="Evidencia">#REF!</definedName>
    <definedName name="Evidencias">#REF!</definedName>
    <definedName name="Fijo">#REF!</definedName>
    <definedName name="Financiera">#REF!</definedName>
    <definedName name="FIXES">#REF!</definedName>
    <definedName name="fixes.">#REF!</definedName>
    <definedName name="Frecuencia">#REF!</definedName>
    <definedName name="Hogares">#REF!</definedName>
    <definedName name="Impacto">#REF!</definedName>
    <definedName name="Infraestructura">#REF!</definedName>
    <definedName name="MIFYL">#REF!</definedName>
    <definedName name="mostrar_período_largo">CHOOSE(período,"enero","febrero","marzo","abril","mayo","junio","julio","agosto","septiembre","octubre","noviembre","diciembre","año")</definedName>
    <definedName name="Movil">#REF!</definedName>
    <definedName name="Negocio">#REF!</definedName>
    <definedName name="Objetivo">#REF!</definedName>
    <definedName name="Operaciones">#REF!</definedName>
    <definedName name="Operaciones.">#REF!</definedName>
    <definedName name="Peso">#REF!</definedName>
    <definedName name="POE">#REF!</definedName>
    <definedName name="Prepago">#REF!</definedName>
    <definedName name="Probabilidad">#REF!</definedName>
    <definedName name="Pruebas">#REF!</definedName>
    <definedName name="QVISION">#REF!</definedName>
    <definedName name="SiebelFijo">#REF!</definedName>
    <definedName name="STEFANINI">#REF!</definedName>
    <definedName name="Terceros">#REF!</definedName>
    <definedName name="Transversales">#REF!</definedName>
    <definedName name="Usuarios">#REF!</definedName>
    <definedName name="valores_de_período_de_categorías_de_gastos_mostradas">OFFSET(categorías_de_gastos_mostradas,,período)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35"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Arial"/>
      <charset val="1"/>
      <family val="2"/>
      <color theme="1"/>
      <sz val="22"/>
    </font>
    <font>
      <name val="Arial"/>
      <charset val="1"/>
      <family val="2"/>
      <b val="1"/>
      <color rgb="FFFFFFFF"/>
      <sz val="13"/>
    </font>
    <font>
      <name val="Arial"/>
      <charset val="1"/>
      <family val="2"/>
      <i val="1"/>
      <color rgb="FFFFFFFF"/>
      <sz val="8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0"/>
    </font>
    <font>
      <name val="Century Gothic"/>
      <charset val="1"/>
      <family val="1"/>
      <b val="1"/>
      <color theme="0" tint="-0.3499862666707358"/>
      <sz val="20"/>
    </font>
    <font>
      <name val="Century Gothic"/>
      <charset val="1"/>
      <family val="1"/>
      <b val="1"/>
      <color theme="0" tint="-0.3499862666707358"/>
      <sz val="16"/>
    </font>
    <font>
      <name val="Arial"/>
      <charset val="1"/>
      <family val="2"/>
      <b val="1"/>
      <color rgb="FF003087"/>
      <sz val="13"/>
    </font>
    <font>
      <name val="Arial"/>
      <charset val="1"/>
      <family val="2"/>
      <i val="1"/>
      <color rgb="FFFFFFFF"/>
      <sz val="9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9"/>
    </font>
    <font>
      <name val="Century Gothic"/>
      <charset val="1"/>
      <family val="1"/>
      <color theme="1"/>
      <sz val="10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1A6FA8"/>
      <sz val="8"/>
    </font>
    <font>
      <name val="Arial"/>
      <charset val="1"/>
      <family val="2"/>
      <b val="1"/>
      <color rgb="FF1D6A39"/>
      <sz val="8"/>
    </font>
    <font>
      <name val="Arial"/>
      <charset val="1"/>
      <family val="2"/>
      <b val="1"/>
      <color rgb="FF922B21"/>
      <sz val="8"/>
    </font>
    <font>
      <name val="Arial"/>
      <charset val="1"/>
      <family val="2"/>
      <b val="1"/>
      <color rgb="FF1A5276"/>
      <sz val="8"/>
    </font>
    <font>
      <name val="Arial"/>
      <charset val="1"/>
      <family val="2"/>
      <b val="1"/>
      <color rgb="FF626567"/>
      <sz val="8"/>
    </font>
    <font>
      <name val="Arial"/>
      <charset val="1"/>
      <family val="2"/>
      <b val="1"/>
      <color rgb="FF003087"/>
      <sz val="9"/>
    </font>
    <font>
      <name val="Arial"/>
      <charset val="1"/>
      <family val="2"/>
      <b val="1"/>
      <color rgb="FF9C640C"/>
      <sz val="8"/>
    </font>
    <font>
      <name val="Arial"/>
      <charset val="1"/>
      <family val="2"/>
      <b val="1"/>
      <color rgb="FF5D6D7E"/>
      <sz val="8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1D6A39"/>
      <sz val="9"/>
    </font>
    <font>
      <name val="Arial"/>
      <charset val="1"/>
      <family val="2"/>
      <i val="1"/>
      <color rgb="FFAAAAAA"/>
      <sz val="8"/>
    </font>
    <font>
      <name val="Arial"/>
      <charset val="1"/>
      <family val="2"/>
      <i val="1"/>
      <color rgb="FF626567"/>
      <sz val="8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2E6DA4"/>
      <sz val="9"/>
    </font>
    <font>
      <name val="Arial"/>
      <charset val="1"/>
      <family val="2"/>
      <i val="1"/>
      <color rgb="FF2E6DA4"/>
      <sz val="10"/>
    </font>
    <font>
      <name val="Calibri"/>
      <charset val="1"/>
      <family val="2"/>
      <b val="1"/>
      <color theme="3"/>
      <sz val="13"/>
    </font>
    <font>
      <name val="Calibri"/>
      <charset val="1"/>
      <family val="2"/>
      <color theme="1"/>
      <sz val="11"/>
    </font>
    <font>
      <name val="Calibri"/>
      <charset val="1"/>
      <family val="2"/>
      <sz val="8"/>
    </font>
    <font>
      <name val="Arial"/>
      <charset val="1"/>
      <family val="2"/>
      <i val="1"/>
      <color rgb="FF888888"/>
      <sz val="9"/>
    </font>
    <font>
      <name val="Century Gothic"/>
      <charset val="1"/>
      <family val="2"/>
      <b val="1"/>
      <color theme="0"/>
      <sz val="14"/>
    </font>
  </fonts>
  <fills count="19">
    <fill>
      <patternFill/>
    </fill>
    <fill>
      <patternFill patternType="gray125"/>
    </fill>
    <fill>
      <patternFill patternType="solid">
        <fgColor theme="4" tint="0.7997985778374584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0066CC"/>
        <bgColor rgb="FF1A6FA8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5F5F5"/>
      </patternFill>
    </fill>
    <fill>
      <patternFill patternType="solid">
        <fgColor rgb="FFFEF9E7"/>
        <bgColor rgb="FFF5F5F5"/>
      </patternFill>
    </fill>
    <fill>
      <patternFill patternType="solid">
        <fgColor rgb="FFEAF2FF"/>
        <bgColor rgb="FFF2F6FB"/>
      </patternFill>
    </fill>
    <fill>
      <patternFill patternType="solid">
        <fgColor rgb="FF1D6A39"/>
        <bgColor rgb="FF1A5276"/>
      </patternFill>
    </fill>
    <fill>
      <patternFill patternType="solid">
        <fgColor rgb="FFF5F8FF"/>
        <bgColor rgb="FFF5F9FF"/>
      </patternFill>
    </fill>
    <fill>
      <patternFill patternType="solid">
        <fgColor rgb="FF1A2A5E"/>
        <bgColor rgb="FF1A1A2E"/>
      </patternFill>
    </fill>
    <fill>
      <patternFill patternType="solid">
        <fgColor rgb="FF2E6DA4"/>
        <bgColor rgb="FF1A6FA8"/>
      </patternFill>
    </fill>
    <fill>
      <patternFill patternType="solid">
        <fgColor theme="9" tint="-0.499984740745262"/>
        <bgColor rgb="FF1A1A2E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 tint="0.499679555650502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rgb="FF003087"/>
      </left>
      <right style="medium">
        <color rgb="FF003087"/>
      </right>
      <top/>
      <bottom style="medium">
        <color rgb="FF003087"/>
      </bottom>
      <diagonal/>
    </border>
    <border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BDD4EA"/>
      </top>
      <bottom/>
      <diagonal/>
    </border>
    <border>
      <left/>
      <right/>
      <top style="thin">
        <color rgb="FFBDD4EA"/>
      </top>
      <bottom style="thin">
        <color rgb="FFBDD4EA"/>
      </bottom>
      <diagonal/>
    </border>
    <border>
      <left/>
      <right/>
      <top style="medium">
        <color rgb="FF003087"/>
      </top>
      <bottom/>
      <diagonal/>
    </border>
    <border>
      <left/>
      <right style="medium">
        <color rgb="FF003087"/>
      </right>
      <top style="medium">
        <color rgb="FF003087"/>
      </top>
      <bottom/>
      <diagonal/>
    </border>
    <border>
      <left/>
      <right/>
      <top style="medium">
        <color rgb="FF003087"/>
      </top>
      <bottom style="medium">
        <color rgb="FF003087"/>
      </bottom>
      <diagonal/>
    </border>
    <border>
      <left/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3087"/>
      </right>
      <top/>
      <bottom/>
      <diagonal/>
    </border>
    <border>
      <left/>
      <right/>
      <top/>
      <bottom style="medium">
        <color rgb="FF003087"/>
      </bottom>
      <diagonal/>
    </border>
    <border>
      <left/>
      <right style="medium">
        <color rgb="FF003087"/>
      </right>
      <top/>
      <bottom style="medium">
        <color rgb="FF003087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31" fillId="0" borderId="0"/>
    <xf numFmtId="0" fontId="1" fillId="0" borderId="0" applyAlignment="1">
      <alignment vertical="center"/>
    </xf>
    <xf numFmtId="9" fontId="31" fillId="0" borderId="0"/>
    <xf numFmtId="0" fontId="30" fillId="0" borderId="1"/>
  </cellStyleXfs>
  <cellXfs count="127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0" fillId="4" borderId="0" pivotButton="0" quotePrefix="0" xfId="0"/>
    <xf numFmtId="0" fontId="0" fillId="6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11" fillId="3" borderId="0" pivotButton="0" quotePrefix="0" xfId="0"/>
    <xf numFmtId="0" fontId="12" fillId="3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left" vertical="center" wrapText="1"/>
    </xf>
    <xf numFmtId="164" fontId="14" fillId="4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center" vertical="center"/>
    </xf>
    <xf numFmtId="164" fontId="15" fillId="8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/>
    </xf>
    <xf numFmtId="164" fontId="14" fillId="7" borderId="3" applyAlignment="1" pivotButton="0" quotePrefix="0" xfId="0">
      <alignment horizontal="left" vertical="center" wrapText="1"/>
    </xf>
    <xf numFmtId="164" fontId="14" fillId="7" borderId="3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 wrapText="1"/>
    </xf>
    <xf numFmtId="164" fontId="17" fillId="10" borderId="3" applyAlignment="1" pivotButton="0" quotePrefix="0" xfId="0">
      <alignment horizontal="center" vertical="center" wrapText="1"/>
    </xf>
    <xf numFmtId="164" fontId="18" fillId="8" borderId="3" applyAlignment="1" pivotButton="0" quotePrefix="0" xfId="0">
      <alignment horizontal="center" vertical="center" wrapText="1"/>
    </xf>
    <xf numFmtId="164" fontId="19" fillId="11" borderId="3" applyAlignment="1" pivotButton="0" quotePrefix="0" xfId="0">
      <alignment horizontal="center" vertical="center" wrapText="1"/>
    </xf>
    <xf numFmtId="0" fontId="11" fillId="4" borderId="0" pivotButton="0" quotePrefix="0" xfId="0"/>
    <xf numFmtId="0" fontId="11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7" fillId="10" borderId="3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9" fillId="11" borderId="3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9" applyAlignment="1" pivotButton="0" quotePrefix="0" xfId="0">
      <alignment horizontal="right" vertical="center"/>
    </xf>
    <xf numFmtId="0" fontId="14" fillId="7" borderId="9" applyAlignment="1" pivotButton="0" quotePrefix="0" xfId="0">
      <alignment horizontal="left" vertical="center"/>
    </xf>
    <xf numFmtId="0" fontId="12" fillId="3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left" vertical="center"/>
    </xf>
    <xf numFmtId="165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24" fillId="6" borderId="10" applyAlignment="1" pivotButton="0" quotePrefix="0" xfId="0">
      <alignment horizontal="center" vertical="center"/>
    </xf>
    <xf numFmtId="0" fontId="0" fillId="15" borderId="11" pivotButton="0" quotePrefix="0" xfId="0"/>
    <xf numFmtId="0" fontId="0" fillId="4" borderId="11" pivotButton="0" quotePrefix="0" xfId="0"/>
    <xf numFmtId="0" fontId="12" fillId="16" borderId="9" applyAlignment="1" pivotButton="0" quotePrefix="0" xfId="0">
      <alignment horizontal="right" vertical="center"/>
    </xf>
    <xf numFmtId="0" fontId="14" fillId="6" borderId="9" applyAlignment="1" pivotButton="0" quotePrefix="0" xfId="0">
      <alignment horizontal="left" vertical="center"/>
    </xf>
    <xf numFmtId="0" fontId="12" fillId="16" borderId="2" applyAlignment="1" pivotButton="0" quotePrefix="0" xfId="0">
      <alignment horizontal="right" vertical="center"/>
    </xf>
    <xf numFmtId="165" fontId="14" fillId="6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left" vertical="center"/>
    </xf>
    <xf numFmtId="0" fontId="12" fillId="17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20" fillId="6" borderId="4" applyAlignment="1" pivotButton="0" quotePrefix="0" xfId="0">
      <alignment horizontal="right" vertical="center"/>
    </xf>
    <xf numFmtId="0" fontId="0" fillId="3" borderId="0" pivotButton="0" quotePrefix="0" xfId="0"/>
    <xf numFmtId="0" fontId="3" fillId="3" borderId="5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23" fillId="14" borderId="7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 wrapText="1"/>
    </xf>
    <xf numFmtId="0" fontId="26" fillId="6" borderId="11" applyAlignment="1" pivotButton="0" quotePrefix="0" xfId="0">
      <alignment horizontal="center" vertical="center"/>
    </xf>
    <xf numFmtId="0" fontId="27" fillId="14" borderId="18" applyAlignment="1" pivotButton="0" quotePrefix="0" xfId="0">
      <alignment horizontal="center" vertical="center"/>
    </xf>
    <xf numFmtId="0" fontId="27" fillId="14" borderId="19" applyAlignment="1" pivotButton="0" quotePrefix="0" xfId="0">
      <alignment horizontal="center" vertical="center"/>
    </xf>
    <xf numFmtId="0" fontId="27" fillId="14" borderId="20" applyAlignment="1" pivotButton="0" quotePrefix="0" xfId="0">
      <alignment horizontal="center" vertical="center"/>
    </xf>
    <xf numFmtId="0" fontId="33" fillId="6" borderId="0" applyAlignment="1" pivotButton="0" quotePrefix="0" xfId="0">
      <alignment horizontal="center" vertical="center"/>
    </xf>
    <xf numFmtId="0" fontId="5" fillId="3" borderId="7" applyAlignment="1" pivotButton="0" quotePrefix="0" xfId="0">
      <alignment horizontal="left" vertical="center"/>
    </xf>
    <xf numFmtId="0" fontId="27" fillId="14" borderId="18" applyAlignment="1" pivotButton="0" quotePrefix="0" xfId="0">
      <alignment horizontal="left" vertical="center"/>
    </xf>
    <xf numFmtId="0" fontId="27" fillId="14" borderId="19" applyAlignment="1" pivotButton="0" quotePrefix="0" xfId="0">
      <alignment horizontal="left" vertical="center"/>
    </xf>
    <xf numFmtId="0" fontId="27" fillId="14" borderId="20" applyAlignment="1" pivotButton="0" quotePrefix="0" xfId="0">
      <alignment horizontal="left" vertical="center"/>
    </xf>
    <xf numFmtId="0" fontId="24" fillId="6" borderId="10" applyAlignment="1" pivotButton="0" quotePrefix="0" xfId="0">
      <alignment horizontal="center" vertical="center"/>
    </xf>
    <xf numFmtId="0" fontId="0" fillId="16" borderId="0" pivotButton="0" quotePrefix="0" xfId="0"/>
    <xf numFmtId="0" fontId="3" fillId="16" borderId="5" applyAlignment="1" pivotButton="0" quotePrefix="0" xfId="0">
      <alignment horizontal="center" vertical="center"/>
    </xf>
    <xf numFmtId="0" fontId="4" fillId="17" borderId="6" applyAlignment="1" pivotButton="0" quotePrefix="0" xfId="0">
      <alignment horizontal="center" vertical="center"/>
    </xf>
    <xf numFmtId="0" fontId="23" fillId="18" borderId="7" applyAlignment="1" pivotButton="0" quotePrefix="0" xfId="0">
      <alignment horizontal="center" vertical="center"/>
    </xf>
    <xf numFmtId="0" fontId="25" fillId="4" borderId="11" applyAlignment="1" pivotButton="0" quotePrefix="0" xfId="0">
      <alignment horizontal="center" vertical="center"/>
    </xf>
    <xf numFmtId="0" fontId="27" fillId="18" borderId="7" applyAlignment="1" pivotButton="0" quotePrefix="0" xfId="0">
      <alignment horizontal="center" vertical="center"/>
    </xf>
    <xf numFmtId="0" fontId="10" fillId="17" borderId="12" applyAlignment="1" pivotButton="0" quotePrefix="0" xfId="0">
      <alignment horizontal="center" vertical="center" wrapText="1"/>
    </xf>
    <xf numFmtId="0" fontId="10" fillId="17" borderId="13" applyAlignment="1" pivotButton="0" quotePrefix="0" xfId="0">
      <alignment horizontal="center" vertical="center" wrapText="1"/>
    </xf>
    <xf numFmtId="0" fontId="10" fillId="17" borderId="14" applyAlignment="1" pivotButton="0" quotePrefix="0" xfId="0">
      <alignment horizontal="center" vertical="center" wrapText="1"/>
    </xf>
    <xf numFmtId="0" fontId="10" fillId="17" borderId="15" applyAlignment="1" pivotButton="0" quotePrefix="0" xfId="0">
      <alignment horizontal="center" vertical="center" wrapText="1"/>
    </xf>
    <xf numFmtId="0" fontId="10" fillId="17" borderId="16" applyAlignment="1" pivotButton="0" quotePrefix="0" xfId="0">
      <alignment horizontal="center" vertical="center" wrapText="1"/>
    </xf>
    <xf numFmtId="0" fontId="10" fillId="17" borderId="17" applyAlignment="1" pivotButton="0" quotePrefix="0" xfId="0">
      <alignment horizontal="center" vertical="center" wrapText="1"/>
    </xf>
    <xf numFmtId="0" fontId="5" fillId="16" borderId="7" applyAlignment="1" pivotButton="0" quotePrefix="0" xfId="0">
      <alignment horizontal="left" vertical="center"/>
    </xf>
    <xf numFmtId="0" fontId="27" fillId="18" borderId="7" applyAlignment="1" pivotButton="0" quotePrefix="0" xfId="0">
      <alignment horizontal="left" vertical="center"/>
    </xf>
    <xf numFmtId="0" fontId="28" fillId="6" borderId="10" applyAlignment="1" pivotButton="0" quotePrefix="0" xfId="0">
      <alignment horizontal="center" vertical="center"/>
    </xf>
    <xf numFmtId="0" fontId="29" fillId="4" borderId="11" applyAlignment="1" pivotButton="0" quotePrefix="0" xfId="0">
      <alignment horizontal="center" vertical="center"/>
    </xf>
    <xf numFmtId="164" fontId="14" fillId="7" borderId="3" applyAlignment="1" pivotButton="0" quotePrefix="0" xfId="0">
      <alignment vertical="top" wrapText="1"/>
    </xf>
    <xf numFmtId="164" fontId="14" fillId="4" borderId="3" applyAlignment="1" pivotButton="0" quotePrefix="0" xfId="0">
      <alignment vertical="top" wrapText="1"/>
    </xf>
    <xf numFmtId="164" fontId="14" fillId="4" borderId="3" applyAlignment="1" pivotButton="0" quotePrefix="0" xfId="0">
      <alignment horizontal="center" vertical="center"/>
    </xf>
    <xf numFmtId="164" fontId="15" fillId="8" borderId="3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/>
    </xf>
    <xf numFmtId="164" fontId="16" fillId="9" borderId="3" applyAlignment="1" pivotButton="0" quotePrefix="0" xfId="0">
      <alignment horizontal="center" vertical="center" wrapText="1"/>
    </xf>
    <xf numFmtId="164" fontId="17" fillId="10" borderId="3" applyAlignment="1" pivotButton="0" quotePrefix="0" xfId="0">
      <alignment horizontal="center" vertical="center" wrapText="1"/>
    </xf>
    <xf numFmtId="164" fontId="18" fillId="8" borderId="3" applyAlignment="1" pivotButton="0" quotePrefix="0" xfId="0">
      <alignment horizontal="center" vertical="center" wrapText="1"/>
    </xf>
    <xf numFmtId="164" fontId="19" fillId="11" borderId="3" applyAlignment="1" pivotButton="0" quotePrefix="0" xfId="0">
      <alignment horizontal="center" vertical="center" wrapText="1"/>
    </xf>
    <xf numFmtId="164" fontId="14" fillId="7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center" vertical="center" wrapText="1"/>
    </xf>
    <xf numFmtId="164" fontId="14" fillId="4" borderId="3" applyAlignment="1" pivotButton="0" quotePrefix="0" xfId="0">
      <alignment horizontal="left" vertical="center" wrapText="1"/>
    </xf>
    <xf numFmtId="164" fontId="14" fillId="7" borderId="3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0" pivotButton="0" quotePrefix="0" xfId="0"/>
    <xf numFmtId="0" fontId="0" fillId="0" borderId="31" pivotButton="0" quotePrefix="0" xfId="0"/>
    <xf numFmtId="165" fontId="14" fillId="7" borderId="2" applyAlignment="1" pivotButton="0" quotePrefix="0" xfId="0">
      <alignment horizontal="left" vertical="center"/>
    </xf>
    <xf numFmtId="0" fontId="27" fillId="14" borderId="27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5" pivotButton="0" quotePrefix="0" xfId="0"/>
    <xf numFmtId="0" fontId="0" fillId="0" borderId="26" pivotButton="0" quotePrefix="0" xfId="0"/>
    <xf numFmtId="0" fontId="27" fillId="14" borderId="27" applyAlignment="1" pivotButton="0" quotePrefix="0" xfId="0">
      <alignment horizontal="center" vertical="center"/>
    </xf>
    <xf numFmtId="0" fontId="10" fillId="17" borderId="7" applyAlignment="1" pivotButton="0" quotePrefix="0" xfId="0">
      <alignment horizontal="center" vertical="center" wrapText="1"/>
    </xf>
    <xf numFmtId="165" fontId="14" fillId="6" borderId="2" applyAlignment="1" pivotButton="0" quotePrefix="0" xfId="0">
      <alignment horizontal="left" vertical="center"/>
    </xf>
  </cellXfs>
  <cellStyles count="4">
    <cellStyle name="Normal" xfId="0" builtinId="0"/>
    <cellStyle name="Normal 2" xfId="1"/>
    <cellStyle name="Percent 2" xfId="2"/>
    <cellStyle name="Excel Built-in Heading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175049</colOff>
      <row>1</row>
      <rowOff>8679</rowOff>
    </from>
    <to>
      <col>2</col>
      <colOff>1019316</colOff>
      <row>2</row>
      <rowOff>497417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5049" y="410846"/>
          <a:ext cx="1532184" cy="10708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21981</colOff>
      <row>1</row>
      <rowOff>22274</rowOff>
    </from>
    <to>
      <col>1</col>
      <colOff>996461</colOff>
      <row>5</row>
      <rowOff>116469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981" y="205447"/>
          <a:ext cx="1186961" cy="8268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1</row>
      <rowOff>21980</rowOff>
    </from>
    <to>
      <col>1</col>
      <colOff>984005</colOff>
      <row>5</row>
      <rowOff>123795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05153"/>
          <a:ext cx="1196486" cy="8345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3087"/>
    <outlinePr summaryBelow="1" summaryRight="1"/>
    <pageSetUpPr/>
  </sheetPr>
  <dimension ref="A1:O752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7" sqref="I7"/>
    </sheetView>
  </sheetViews>
  <sheetFormatPr baseColWidth="10" defaultColWidth="66.5546875" defaultRowHeight="14.4"/>
  <cols>
    <col width="3" customWidth="1" style="1" min="1" max="1"/>
    <col width="7" customWidth="1" style="5" min="2" max="2"/>
    <col width="32" customWidth="1" style="5" min="3" max="3"/>
    <col width="20" customWidth="1" style="5" min="4" max="4"/>
    <col width="36" customWidth="1" style="5" min="5" max="5"/>
    <col width="14" customWidth="1" style="5" min="6" max="6"/>
    <col width="18" customWidth="1" style="5" min="7" max="8"/>
    <col width="13" customWidth="1" style="5" min="9" max="9"/>
    <col width="16" customWidth="1" style="5" min="10" max="10"/>
    <col width="22" customWidth="1" style="5" min="11" max="11"/>
    <col width="66.5546875" customWidth="1" style="5" min="12" max="13"/>
    <col width="66.5546875" customWidth="1" style="6" min="14" max="15"/>
    <col width="66.5546875" customWidth="1" style="1" min="16" max="16384"/>
  </cols>
  <sheetData>
    <row r="1" ht="31.2" customFormat="1" customHeight="1" s="2">
      <c r="A1" s="58" t="inlineStr">
        <is>
          <t>PLANIFICACIÓN 
Y EJECUCIÓN DE CASOS DE PRUEBA</t>
        </is>
      </c>
      <c r="L1" s="7" t="n"/>
      <c r="M1" s="7" t="n"/>
      <c r="N1" s="8" t="n"/>
      <c r="O1" s="8" t="n"/>
    </row>
    <row r="2" ht="45.75" customFormat="1" customHeight="1" s="2">
      <c r="A2" s="9" t="n"/>
      <c r="B2" s="9" t="n"/>
      <c r="C2" s="9" t="n"/>
      <c r="D2" s="9" t="n"/>
      <c r="E2" s="9" t="n"/>
      <c r="F2" s="9" t="n"/>
      <c r="G2" s="59" t="inlineStr">
        <is>
          <t>PLANIFICACIÓN Y EJECUCIÓN DE CASOS DE PRUEBA</t>
        </is>
      </c>
      <c r="L2" s="7" t="n"/>
      <c r="M2" s="7" t="n"/>
      <c r="N2" s="8" t="n"/>
      <c r="O2" s="8" t="n"/>
    </row>
    <row r="3" ht="45.75" customFormat="1" customHeight="1" s="2">
      <c r="A3" s="9" t="n"/>
      <c r="B3" s="9" t="n"/>
      <c r="C3" s="9" t="n"/>
      <c r="D3" s="9" t="n"/>
      <c r="E3" s="9" t="n"/>
      <c r="F3" s="9" t="n"/>
      <c r="L3" s="7" t="n"/>
      <c r="M3" s="7" t="n"/>
      <c r="N3" s="8" t="n"/>
      <c r="O3" s="8" t="n"/>
    </row>
    <row r="4" ht="25.5" customFormat="1" customHeight="1" s="2">
      <c r="A4" s="60" t="inlineStr">
        <is>
          <t>Proyecto: REQ-BUPA-001 — Verificacion de carga del Portal Pacientes  |  QA Lead: Jaime Quinelen Villar  |  Fecha: Mayo 2026  |  Version: v1.0</t>
        </is>
      </c>
      <c r="L4" s="7" t="n"/>
      <c r="M4" s="7" t="n"/>
      <c r="N4" s="8" t="n"/>
      <c r="O4" s="8" t="n"/>
    </row>
    <row r="5" ht="36" customHeight="1">
      <c r="A5" s="10" t="n"/>
      <c r="B5" s="11" t="inlineStr">
        <is>
          <t>ID</t>
        </is>
      </c>
      <c r="C5" s="11" t="inlineStr">
        <is>
          <t>Descripción del Caso de Prueba</t>
        </is>
      </c>
      <c r="D5" s="11" t="inlineStr">
        <is>
          <t>Nivel Complejidad
(Pre-Condición)</t>
        </is>
      </c>
      <c r="E5" s="11" t="inlineStr">
        <is>
          <t>Resultado Esperado
(Post-Condiciones)</t>
        </is>
      </c>
      <c r="F5" s="11" t="inlineStr">
        <is>
          <t>Complejidad
Caso</t>
        </is>
      </c>
      <c r="G5" s="11" t="inlineStr">
        <is>
          <t>Responsable
Usuario</t>
        </is>
      </c>
      <c r="H5" s="11" t="inlineStr">
        <is>
          <t>Responsable
TI</t>
        </is>
      </c>
      <c r="I5" s="11" t="inlineStr">
        <is>
          <t>Estado</t>
        </is>
      </c>
      <c r="J5" s="11" t="inlineStr">
        <is>
          <t>Incidente
Asociado Jira</t>
        </is>
      </c>
      <c r="K5" s="11" t="inlineStr">
        <is>
          <t>Notas /
Comentarios</t>
        </is>
      </c>
      <c r="L5" s="12" t="n"/>
      <c r="M5" s="12" t="n"/>
      <c r="N5" s="1" t="n"/>
      <c r="O5" s="1" t="n"/>
    </row>
    <row r="6" ht="21.75" customHeight="1">
      <c r="A6" s="13" t="n"/>
      <c r="B6" s="14" t="inlineStr">
        <is>
          <t>REQ-001-FP-01</t>
        </is>
      </c>
      <c r="C6" s="93" t="inlineStr">
        <is>
          <t>Portal carga correctamente y URL es valida</t>
        </is>
      </c>
      <c r="D6" s="94" t="inlineStr">
        <is>
          <t>Ninguna — no requiere autenticacion</t>
        </is>
      </c>
      <c r="E6" s="94" t="inlineStr">
        <is>
          <t>Body visible + URL contiene portalpaciente.bupa.cl
PASS si: body visible y URL = portalpaciente.bupa.cl
FAIL si: body no visible o URL incorrecta
(Criterio A — UI + Frontend)</t>
        </is>
      </c>
      <c r="F6" s="95" t="inlineStr">
        <is>
          <t>Alta</t>
        </is>
      </c>
      <c r="G6" s="95" t="inlineStr">
        <is>
          <t>Jaime Quinelen Villar</t>
        </is>
      </c>
      <c r="H6" s="95" t="inlineStr">
        <is>
          <t>Dev</t>
        </is>
      </c>
      <c r="I6" s="96" t="inlineStr">
        <is>
          <t>En pruebas</t>
        </is>
      </c>
      <c r="J6" s="95" t="inlineStr"/>
      <c r="K6" s="94" t="inlineStr">
        <is>
          <t>UI + Frontend</t>
        </is>
      </c>
      <c r="L6" s="12" t="n"/>
      <c r="M6" s="12" t="n"/>
      <c r="N6" s="1" t="n"/>
      <c r="O6" s="1" t="n"/>
    </row>
    <row r="7" ht="21.75" customHeight="1">
      <c r="A7" s="13" t="n"/>
      <c r="B7" s="19" t="inlineStr">
        <is>
          <t>REQ-001-FP-02</t>
        </is>
      </c>
      <c r="C7" s="93" t="inlineStr">
        <is>
          <t>Portal carga en menos de 3 segundos</t>
        </is>
      </c>
      <c r="D7" s="93" t="inlineStr">
        <is>
          <t>Ninguna — acceso al portal desde navegador</t>
        </is>
      </c>
      <c r="E7" s="94" t="inlineStr">
        <is>
          <t>Tiempo de carga menor a 3000ms desde navegacion hasta body visible
PASS si: tiempo &lt; 3000ms
FAIL si: tiempo &gt;= 3000ms (registrar ms reales)
(Criterio B — UX)</t>
        </is>
      </c>
      <c r="F7" s="97" t="inlineStr">
        <is>
          <t>Alta</t>
        </is>
      </c>
      <c r="G7" s="95" t="inlineStr">
        <is>
          <t>Jaime Quinelen Villar</t>
        </is>
      </c>
      <c r="H7" s="95" t="inlineStr">
        <is>
          <t>Dev</t>
        </is>
      </c>
      <c r="I7" s="98" t="inlineStr">
        <is>
          <t>En pruebas</t>
        </is>
      </c>
      <c r="J7" s="97" t="inlineStr"/>
      <c r="K7" s="93" t="inlineStr">
        <is>
          <t>UX</t>
        </is>
      </c>
      <c r="L7" s="12" t="n"/>
      <c r="M7" s="12" t="n"/>
      <c r="N7" s="1" t="n"/>
      <c r="O7" s="1" t="n"/>
    </row>
    <row r="8" ht="21.75" customHeight="1">
      <c r="A8" s="13" t="n"/>
      <c r="B8" s="14" t="inlineStr">
        <is>
          <t>REQ-001-FP-03</t>
        </is>
      </c>
      <c r="C8" s="93" t="inlineStr">
        <is>
          <t>Portal utiliza HTTPS con certificado SSL valido</t>
        </is>
      </c>
      <c r="D8" s="94" t="inlineStr">
        <is>
          <t>Ninguna — acceso directo al portal</t>
        </is>
      </c>
      <c r="E8" s="94" t="inlineStr">
        <is>
          <t>Protocolo es https: con certificado SSL valido y no expirado
PASS si: URL inicia con https: y SSL valido
FAIL si: protocolo es http: o SSL invalido/expirado
(Criterio C — Backend / Seguridad)</t>
        </is>
      </c>
      <c r="F8" s="95" t="inlineStr">
        <is>
          <t>Alta</t>
        </is>
      </c>
      <c r="G8" s="95" t="inlineStr">
        <is>
          <t>Jaime Quinelen Villar</t>
        </is>
      </c>
      <c r="H8" s="95" t="inlineStr">
        <is>
          <t>Dev</t>
        </is>
      </c>
      <c r="I8" s="99" t="inlineStr">
        <is>
          <t>En pruebas</t>
        </is>
      </c>
      <c r="J8" s="95" t="inlineStr"/>
      <c r="K8" s="94" t="inlineStr">
        <is>
          <t>Backend / Seguridad</t>
        </is>
      </c>
      <c r="L8" s="12" t="n"/>
      <c r="M8" s="12" t="n"/>
      <c r="N8" s="1" t="n"/>
      <c r="O8" s="1" t="n"/>
    </row>
    <row r="9" ht="21.75" customHeight="1">
      <c r="A9" s="13" t="n"/>
      <c r="B9" s="19" t="inlineStr">
        <is>
          <t>REQ-001-EC-01</t>
        </is>
      </c>
      <c r="C9" s="93" t="inlineStr">
        <is>
          <t>Servidor caido genera error de conexion</t>
        </is>
      </c>
      <c r="D9" s="93" t="inlineStr">
        <is>
          <t>Ambiente DEV/UAT con servidor inaccesible (requiere DevOps)</t>
        </is>
      </c>
      <c r="E9" s="93" t="inlineStr">
        <is>
          <t>Cypress lanza error de conexion — test falla con timeout
PASS si: test detecta el fallo y lo reporta correctamente
FAIL si: test pasa sin detectar la caida del servidor</t>
        </is>
      </c>
      <c r="F9" s="97" t="inlineStr">
        <is>
          <t>Alta</t>
        </is>
      </c>
      <c r="G9" s="95" t="inlineStr">
        <is>
          <t>Jaime Quinelen Villar</t>
        </is>
      </c>
      <c r="H9" s="95" t="inlineStr">
        <is>
          <t>DevOps</t>
        </is>
      </c>
      <c r="I9" s="100" t="inlineStr">
        <is>
          <t>En pruebas</t>
        </is>
      </c>
      <c r="J9" s="97" t="inlineStr"/>
      <c r="K9" s="93" t="inlineStr">
        <is>
          <t>Backend</t>
        </is>
      </c>
      <c r="L9" s="12" t="n"/>
      <c r="M9" s="12" t="n"/>
      <c r="N9" s="1" t="n"/>
      <c r="O9" s="1" t="n"/>
    </row>
    <row r="10" ht="21.75" customHeight="1">
      <c r="A10" s="13" t="n"/>
      <c r="B10" s="14" t="inlineStr">
        <is>
          <t>REQ-001-EC-02</t>
        </is>
      </c>
      <c r="C10" s="94" t="inlineStr">
        <is>
          <t>Carga lenta superior a 3 segundos es detectada</t>
        </is>
      </c>
      <c r="D10" s="94" t="inlineStr">
        <is>
          <t>Ambiente DEV con throttling de red (Slow 3G en DevTools)</t>
        </is>
      </c>
      <c r="E10" s="94" t="inlineStr">
        <is>
          <t>AssertionError de tiempo — test falla con ms reales registrados
PASS si: test detecta el tiempo excedido y registra los ms
FAIL si: test no detecta la carga lenta</t>
        </is>
      </c>
      <c r="F10" s="95" t="inlineStr">
        <is>
          <t>Media - Alta</t>
        </is>
      </c>
      <c r="G10" s="95" t="inlineStr">
        <is>
          <t>Jaime Quinelen Villar</t>
        </is>
      </c>
      <c r="H10" s="95" t="inlineStr">
        <is>
          <t>Dev</t>
        </is>
      </c>
      <c r="I10" s="101" t="inlineStr">
        <is>
          <t>En pruebas</t>
        </is>
      </c>
      <c r="J10" s="95" t="inlineStr"/>
      <c r="K10" s="94" t="inlineStr">
        <is>
          <t>UX</t>
        </is>
      </c>
      <c r="L10" s="12" t="n"/>
      <c r="M10" s="12" t="n"/>
      <c r="N10" s="1" t="n"/>
      <c r="O10" s="1" t="n"/>
    </row>
    <row r="11" ht="21.75" customHeight="1">
      <c r="A11" s="13" t="n"/>
      <c r="B11" s="19" t="inlineStr">
        <is>
          <t>REQ-001-EC-03</t>
        </is>
      </c>
      <c r="C11" s="93" t="inlineStr">
        <is>
          <t>Dominio incorrecto es detectado tras redirect</t>
        </is>
      </c>
      <c r="D11" s="93" t="inlineStr">
        <is>
          <t>Ambiente DEV con redirect configurado a dominio externo</t>
        </is>
      </c>
      <c r="E11" s="93" t="inlineStr">
        <is>
          <t>URL no contiene portalpaciente.bupa.cl — test falla
PASS si: test detecta dominio incorrecto post-redirect
FAIL si: test no verifica la URL activa</t>
        </is>
      </c>
      <c r="F11" s="97" t="inlineStr">
        <is>
          <t>Media</t>
        </is>
      </c>
      <c r="G11" s="97" t="inlineStr">
        <is>
          <t>Jaime Quinelen Villar</t>
        </is>
      </c>
      <c r="H11" s="97" t="inlineStr">
        <is>
          <t>Dev</t>
        </is>
      </c>
      <c r="I11" s="102" t="inlineStr">
        <is>
          <t>En pruebas</t>
        </is>
      </c>
      <c r="J11" s="97" t="inlineStr"/>
      <c r="K11" s="93" t="inlineStr">
        <is>
          <t>Frontend</t>
        </is>
      </c>
      <c r="L11" s="12" t="n"/>
      <c r="M11" s="12" t="n"/>
      <c r="N11" s="1" t="n"/>
      <c r="O11" s="1" t="n"/>
    </row>
    <row r="12" ht="21.75" customHeight="1">
      <c r="A12" s="13" t="n"/>
      <c r="B12" s="14" t="inlineStr">
        <is>
          <t>REQ-001-EC-04</t>
        </is>
      </c>
      <c r="C12" s="94" t="inlineStr">
        <is>
          <t>Protocolo HTTP sin cifrado es detectado (seguridad)</t>
        </is>
      </c>
      <c r="D12" s="94" t="inlineStr">
        <is>
          <t>Ninguna — acceso directo por http:// (sin S)</t>
        </is>
      </c>
      <c r="E12" s="94" t="inlineStr">
        <is>
          <t>Protocolo retorna http: — test falla por seguridad
PASS si: servidor redirige automaticamente a https:
FAIL si: responde por HTTP sin redirect — severidad CRITICA</t>
        </is>
      </c>
      <c r="F12" s="95" t="inlineStr">
        <is>
          <t>Alta</t>
        </is>
      </c>
      <c r="G12" s="95" t="inlineStr">
        <is>
          <t>Jaime Quinelen Villar</t>
        </is>
      </c>
      <c r="H12" s="95" t="inlineStr">
        <is>
          <t>Dev</t>
        </is>
      </c>
      <c r="I12" s="103" t="inlineStr">
        <is>
          <t>En pruebas</t>
        </is>
      </c>
      <c r="J12" s="95" t="inlineStr"/>
      <c r="K12" s="94" t="inlineStr">
        <is>
          <t>Backend / Seguridad</t>
        </is>
      </c>
      <c r="L12" s="12" t="n"/>
      <c r="M12" s="12" t="n"/>
      <c r="N12" s="1" t="n"/>
      <c r="O12" s="1" t="n"/>
    </row>
    <row r="13" ht="21.75" customHeight="1">
      <c r="A13" s="13" t="n"/>
      <c r="B13" s="19" t="inlineStr">
        <is>
          <t>REQ-001-EC-05</t>
        </is>
      </c>
      <c r="C13" s="93" t="inlineStr">
        <is>
          <t>Menu de navegacion no visible tras bootstrap Angular</t>
        </is>
      </c>
      <c r="D13" s="93" t="inlineStr">
        <is>
          <t>Ambiente con error simulado en renderizado de componente Angular</t>
        </is>
      </c>
      <c r="E13" s="93" t="inlineStr">
        <is>
          <t>Elemento de menu no renderizado — test falla
PASS si: test detecta la ausencia del menu
FAIL si: test pasa sin verificar visibilidad del menu</t>
        </is>
      </c>
      <c r="F13" s="97" t="inlineStr">
        <is>
          <t>Media</t>
        </is>
      </c>
      <c r="G13" s="97" t="inlineStr">
        <is>
          <t>Jaime Quinelen Villar</t>
        </is>
      </c>
      <c r="H13" s="97" t="inlineStr">
        <is>
          <t>Dev</t>
        </is>
      </c>
      <c r="I13" s="102" t="inlineStr">
        <is>
          <t>En pruebas</t>
        </is>
      </c>
      <c r="J13" s="97" t="inlineStr"/>
      <c r="K13" s="93" t="inlineStr">
        <is>
          <t>UI</t>
        </is>
      </c>
      <c r="L13" s="12" t="n"/>
      <c r="M13" s="12" t="n"/>
      <c r="N13" s="1" t="n"/>
      <c r="O13" s="1" t="n"/>
    </row>
    <row r="14" ht="21.75" customHeight="1">
      <c r="A14" s="13" t="n"/>
      <c r="B14" s="14" t="inlineStr">
        <is>
          <t>REQ-001-EC-06</t>
        </is>
      </c>
      <c r="C14" s="94" t="inlineStr">
        <is>
          <t>Scroll horizontal detectado en mobile 375px</t>
        </is>
      </c>
      <c r="D14" s="94" t="inlineStr">
        <is>
          <t>Viewport configurado a 375x812 (iPhone) con overflow horizontal</t>
        </is>
      </c>
      <c r="E14" s="94" t="inlineStr">
        <is>
          <t>Overflow horizontal detectado — test falla
PASS si: test detecta overflow en viewport mobile
FAIL si: test no verifica el comportamiento responsive</t>
        </is>
      </c>
      <c r="F14" s="95" t="inlineStr">
        <is>
          <t>Media</t>
        </is>
      </c>
      <c r="G14" s="95" t="inlineStr">
        <is>
          <t>Jaime Quinelen Villar</t>
        </is>
      </c>
      <c r="H14" s="95" t="inlineStr">
        <is>
          <t>Dev</t>
        </is>
      </c>
      <c r="I14" s="103" t="inlineStr">
        <is>
          <t>En pruebas</t>
        </is>
      </c>
      <c r="J14" s="95" t="inlineStr"/>
      <c r="K14" s="94" t="inlineStr">
        <is>
          <t>UX + Frontend</t>
        </is>
      </c>
      <c r="L14" s="12" t="n"/>
      <c r="M14" s="12" t="n"/>
      <c r="N14" s="1" t="n"/>
      <c r="O14" s="1" t="n"/>
    </row>
    <row r="15" ht="21.75" customHeight="1">
      <c r="A15" s="13" t="n"/>
      <c r="B15" s="19" t="inlineStr">
        <is>
          <t>REQ-001-EC-07</t>
        </is>
      </c>
      <c r="C15" s="93" t="inlineStr">
        <is>
          <t>Violaciones criticas WCAG detectadas por axe</t>
        </is>
      </c>
      <c r="D15" s="93" t="inlineStr">
        <is>
          <t>cypress-axe instalado y pagina cargada correctamente</t>
        </is>
      </c>
      <c r="E15" s="93" t="inlineStr">
        <is>
          <t>cypress-axe reporta violaciones criticas WCAG 2.1 — test falla
PASS si: test detecta y reporta cada violacion con elemento afectado
FAIL si: axe no se ejecuta o falla silenciosamente</t>
        </is>
      </c>
      <c r="F15" s="97" t="inlineStr">
        <is>
          <t>Media - Alta</t>
        </is>
      </c>
      <c r="G15" s="97" t="inlineStr">
        <is>
          <t>Jaime Quinelen Villar</t>
        </is>
      </c>
      <c r="H15" s="97" t="inlineStr">
        <is>
          <t>Dev</t>
        </is>
      </c>
      <c r="I15" s="102" t="inlineStr">
        <is>
          <t>En pruebas</t>
        </is>
      </c>
      <c r="J15" s="97" t="inlineStr"/>
      <c r="K15" s="93" t="inlineStr">
        <is>
          <t>UX (Accesibilidad)</t>
        </is>
      </c>
      <c r="L15" s="12" t="n"/>
      <c r="M15" s="12" t="n"/>
      <c r="N15" s="1" t="n"/>
      <c r="O15" s="1" t="n"/>
    </row>
    <row r="16" ht="21.75" customHeight="1">
      <c r="A16" s="13" t="n"/>
      <c r="B16" s="14" t="inlineStr">
        <is>
          <t>REQ-001-EC-08</t>
        </is>
      </c>
      <c r="C16" s="94" t="inlineStr">
        <is>
          <t>Core Web Vitals LCP o CLS fuera del umbral</t>
        </is>
      </c>
      <c r="D16" s="94" t="inlineStr">
        <is>
          <t>Lighthouse configurado en el ambiente de prueba</t>
        </is>
      </c>
      <c r="E16" s="94" t="inlineStr">
        <is>
          <t>Core Web Vitals fuera de umbral — test falla (LCP/CLS registrados)
PASS si: LCP &lt; 2.5s y CLS &lt; 0.1
FAIL si: LCP &gt;= 2.5s o CLS &gt;= 0.1</t>
        </is>
      </c>
      <c r="F16" s="95" t="inlineStr">
        <is>
          <t>Media</t>
        </is>
      </c>
      <c r="G16" s="95" t="inlineStr">
        <is>
          <t>Jaime Quinelen Villar</t>
        </is>
      </c>
      <c r="H16" s="95" t="inlineStr">
        <is>
          <t>Dev</t>
        </is>
      </c>
      <c r="I16" s="103" t="inlineStr">
        <is>
          <t>En pruebas</t>
        </is>
      </c>
      <c r="J16" s="95" t="inlineStr"/>
      <c r="K16" s="94" t="inlineStr">
        <is>
          <t>UX (Core Web Vitals)</t>
        </is>
      </c>
      <c r="L16" s="12" t="n"/>
      <c r="M16" s="12" t="n"/>
      <c r="N16" s="1" t="n"/>
      <c r="O16" s="1" t="n"/>
    </row>
    <row r="17" ht="21.75" customHeight="1">
      <c r="A17" s="13" t="n"/>
      <c r="B17" s="19" t="inlineStr">
        <is>
          <t>REQ-001-EC-09</t>
        </is>
      </c>
      <c r="C17" s="93" t="inlineStr">
        <is>
          <t>Health check /api/health no responde HTTP 200</t>
        </is>
      </c>
      <c r="D17" s="93" t="inlineStr">
        <is>
          <t>Endpoint /api/health disponible en el servidor</t>
        </is>
      </c>
      <c r="E17" s="93" t="inlineStr">
        <is>
          <t>Endpoint retorna error o timeout — test falla
PASS si: endpoint responde HTTP 200 en menos de 1000ms
FAIL si: responde con error 4xx/5xx o no responde</t>
        </is>
      </c>
      <c r="F17" s="97" t="inlineStr">
        <is>
          <t>Media</t>
        </is>
      </c>
      <c r="G17" s="97" t="inlineStr">
        <is>
          <t>Jaime Quinelen Villar</t>
        </is>
      </c>
      <c r="H17" s="97" t="inlineStr">
        <is>
          <t>DevOps</t>
        </is>
      </c>
      <c r="I17" s="102" t="inlineStr">
        <is>
          <t>En pruebas</t>
        </is>
      </c>
      <c r="J17" s="97" t="inlineStr"/>
      <c r="K17" s="93" t="inlineStr">
        <is>
          <t>Backend</t>
        </is>
      </c>
      <c r="L17" s="12" t="n"/>
      <c r="M17" s="12" t="n"/>
      <c r="N17" s="1" t="n"/>
      <c r="O17" s="1" t="n"/>
    </row>
    <row r="18" ht="21.75" customHeight="1">
      <c r="A18" s="13" t="n"/>
      <c r="B18" s="14" t="n"/>
      <c r="C18" s="104" t="n"/>
      <c r="D18" s="103" t="n"/>
      <c r="E18" s="104" t="n"/>
      <c r="F18" s="95" t="n"/>
      <c r="G18" s="95" t="n"/>
      <c r="H18" s="95" t="n"/>
      <c r="I18" s="103" t="n"/>
      <c r="J18" s="95" t="n"/>
      <c r="K18" s="104" t="n"/>
      <c r="L18" s="12" t="n"/>
      <c r="M18" s="12" t="n"/>
      <c r="N18" s="1" t="n"/>
      <c r="O18" s="1" t="n"/>
    </row>
    <row r="19" ht="21.75" customHeight="1">
      <c r="A19" s="13" t="n"/>
      <c r="B19" s="19" t="n"/>
      <c r="C19" s="105" t="n"/>
      <c r="D19" s="102" t="n"/>
      <c r="E19" s="105" t="n"/>
      <c r="F19" s="97" t="n"/>
      <c r="G19" s="97" t="n"/>
      <c r="H19" s="97" t="n"/>
      <c r="I19" s="102" t="n"/>
      <c r="J19" s="97" t="n"/>
      <c r="K19" s="105" t="n"/>
      <c r="L19" s="12" t="n"/>
      <c r="M19" s="12" t="n"/>
      <c r="N19" s="1" t="n"/>
      <c r="O19" s="1" t="n"/>
    </row>
    <row r="20" ht="19.5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8" t="n"/>
      <c r="M20" s="12" t="n"/>
      <c r="N20" s="12" t="n"/>
      <c r="O20" s="12" t="n"/>
    </row>
    <row r="21" ht="19.5" customHeight="1">
      <c r="A21" s="27" t="n"/>
      <c r="B21" s="27" t="n"/>
      <c r="C21" s="61" t="inlineStr">
        <is>
          <t>Total Horas Estimadas de Ejecución →</t>
        </is>
      </c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28" t="n"/>
      <c r="M21" s="12" t="n"/>
      <c r="N21" s="12" t="n"/>
      <c r="O21" s="12" t="n"/>
    </row>
    <row r="22" ht="19.5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  <c r="M22" s="12" t="n"/>
      <c r="N22" s="12" t="n"/>
      <c r="O22" s="12" t="n"/>
    </row>
    <row r="23" ht="19.5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  <c r="M23" s="12" t="n"/>
      <c r="N23" s="12" t="n"/>
      <c r="O23" s="12" t="n"/>
    </row>
    <row r="24" ht="19.5" customHeight="1">
      <c r="A24" s="27" t="n"/>
      <c r="B24" s="29">
        <f>+COUNT(B6:B19)</f>
        <v/>
      </c>
      <c r="C24" s="61" t="inlineStr">
        <is>
          <t>Total Casos de Prueba →</t>
        </is>
      </c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28" t="n"/>
      <c r="M24" s="12" t="n"/>
      <c r="N24" s="12" t="n"/>
      <c r="O24" s="12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12" t="n"/>
      <c r="N25" s="12" t="n"/>
      <c r="O25" s="12" t="n"/>
    </row>
    <row r="26" ht="15.75" customHeight="1">
      <c r="A26" s="28" t="n"/>
      <c r="B26" s="57" t="inlineStr">
        <is>
          <t>LEYENDA – ESTADO DE CASOS</t>
        </is>
      </c>
      <c r="L26" s="28" t="n"/>
      <c r="M26" s="12" t="n"/>
      <c r="N26" s="12" t="n"/>
      <c r="O26" s="12" t="n"/>
    </row>
    <row r="27" ht="18" customHeight="1">
      <c r="A27" s="28" t="n"/>
      <c r="B27" s="30" t="inlineStr">
        <is>
          <t>En pruebas</t>
        </is>
      </c>
      <c r="C27" s="31" t="inlineStr">
        <is>
          <t>Exitoso</t>
        </is>
      </c>
      <c r="D27" s="32" t="inlineStr">
        <is>
          <t>Fallido</t>
        </is>
      </c>
      <c r="E27" s="33" t="inlineStr">
        <is>
          <t>Bloqueado</t>
        </is>
      </c>
      <c r="F27" s="34" t="inlineStr">
        <is>
          <t>Por Ejecutar</t>
        </is>
      </c>
      <c r="G27" s="35" t="inlineStr">
        <is>
          <t>Ok Técnico</t>
        </is>
      </c>
      <c r="H27" s="36" t="inlineStr">
        <is>
          <t>No Aplica</t>
        </is>
      </c>
      <c r="I27" s="28" t="n"/>
      <c r="J27" s="28" t="n"/>
      <c r="K27" s="28" t="n"/>
      <c r="L27" s="28" t="n"/>
      <c r="M27" s="12" t="n"/>
      <c r="N27" s="12" t="n"/>
      <c r="O27" s="12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12" t="n"/>
      <c r="N28" s="12" t="n"/>
      <c r="O28" s="12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12" t="n"/>
      <c r="N29" s="12" t="n"/>
      <c r="O29" s="12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12" t="n"/>
      <c r="N30" s="12" t="n"/>
      <c r="O30" s="12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12" t="n"/>
      <c r="N31" s="12" t="n"/>
      <c r="O31" s="12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12" t="n"/>
      <c r="N32" s="12" t="n"/>
      <c r="O32" s="12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12" t="n"/>
      <c r="N33" s="12" t="n"/>
      <c r="O33" s="12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12" t="n"/>
      <c r="N34" s="12" t="n"/>
      <c r="O34" s="12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12" t="n"/>
      <c r="N35" s="12" t="n"/>
      <c r="O35" s="12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12" t="n"/>
      <c r="N36" s="12" t="n"/>
      <c r="O36" s="12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12" t="n"/>
      <c r="N37" s="12" t="n"/>
      <c r="O37" s="12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12" t="n"/>
      <c r="N38" s="12" t="n"/>
      <c r="O38" s="12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12" t="n"/>
      <c r="N39" s="12" t="n"/>
      <c r="O39" s="12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12" t="n"/>
      <c r="N40" s="12" t="n"/>
      <c r="O40" s="12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12" t="n"/>
      <c r="N41" s="12" t="n"/>
      <c r="O41" s="12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12" t="n"/>
      <c r="N42" s="12" t="n"/>
      <c r="O42" s="12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12" t="n"/>
      <c r="N43" s="12" t="n"/>
      <c r="O43" s="12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12" t="n"/>
      <c r="N44" s="12" t="n"/>
      <c r="O44" s="12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12" t="n"/>
      <c r="N45" s="12" t="n"/>
      <c r="O45" s="12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12" t="n"/>
      <c r="N46" s="12" t="n"/>
      <c r="O46" s="12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12" t="n"/>
      <c r="N47" s="12" t="n"/>
      <c r="O47" s="12" t="n"/>
    </row>
    <row r="48">
      <c r="A48" s="28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12" t="n"/>
      <c r="N48" s="12" t="n"/>
      <c r="O48" s="12" t="n"/>
    </row>
    <row r="49">
      <c r="A49" s="28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12" t="n"/>
      <c r="N49" s="12" t="n"/>
      <c r="O49" s="12" t="n"/>
    </row>
    <row r="50">
      <c r="A50" s="28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12" t="n"/>
      <c r="N50" s="12" t="n"/>
      <c r="O50" s="12" t="n"/>
    </row>
    <row r="51">
      <c r="A51" s="28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12" t="n"/>
      <c r="N51" s="12" t="n"/>
      <c r="O51" s="12" t="n"/>
    </row>
    <row r="52">
      <c r="A52" s="28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12" t="n"/>
      <c r="N52" s="12" t="n"/>
      <c r="O52" s="12" t="n"/>
    </row>
    <row r="53">
      <c r="A53" s="28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12" t="n"/>
      <c r="N53" s="12" t="n"/>
      <c r="O53" s="12" t="n"/>
    </row>
    <row r="54">
      <c r="A54" s="28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12" t="n"/>
      <c r="N54" s="12" t="n"/>
      <c r="O54" s="12" t="n"/>
    </row>
    <row r="55">
      <c r="A55" s="28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12" t="n"/>
      <c r="N55" s="12" t="n"/>
      <c r="O55" s="12" t="n"/>
    </row>
    <row r="56">
      <c r="A56" s="28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12" t="n"/>
      <c r="N56" s="12" t="n"/>
      <c r="O56" s="12" t="n"/>
    </row>
    <row r="57">
      <c r="A57" s="28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12" t="n"/>
      <c r="N57" s="12" t="n"/>
      <c r="O57" s="12" t="n"/>
    </row>
    <row r="58">
      <c r="A58" s="28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12" t="n"/>
      <c r="N58" s="12" t="n"/>
      <c r="O58" s="12" t="n"/>
    </row>
    <row r="59">
      <c r="A59" s="28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12" t="n"/>
      <c r="N59" s="12" t="n"/>
      <c r="O59" s="12" t="n"/>
    </row>
    <row r="60">
      <c r="A60" s="28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12" t="n"/>
      <c r="N60" s="12" t="n"/>
      <c r="O60" s="12" t="n"/>
    </row>
    <row r="61">
      <c r="A61" s="28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12" t="n"/>
      <c r="N61" s="12" t="n"/>
      <c r="O61" s="12" t="n"/>
    </row>
    <row r="62">
      <c r="A62" s="28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12" t="n"/>
      <c r="N62" s="12" t="n"/>
      <c r="O62" s="12" t="n"/>
    </row>
    <row r="63">
      <c r="A63" s="28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12" t="n"/>
      <c r="N63" s="12" t="n"/>
      <c r="O63" s="12" t="n"/>
    </row>
    <row r="64">
      <c r="A64" s="28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12" t="n"/>
      <c r="N64" s="12" t="n"/>
      <c r="O64" s="12" t="n"/>
    </row>
    <row r="65">
      <c r="A65" s="28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12" t="n"/>
      <c r="N65" s="12" t="n"/>
      <c r="O65" s="12" t="n"/>
    </row>
    <row r="66">
      <c r="A66" s="28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12" t="n"/>
      <c r="N66" s="12" t="n"/>
      <c r="O66" s="12" t="n"/>
    </row>
    <row r="67">
      <c r="A67" s="28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12" t="n"/>
      <c r="N67" s="12" t="n"/>
      <c r="O67" s="12" t="n"/>
    </row>
    <row r="68">
      <c r="A68" s="28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12" t="n"/>
      <c r="N68" s="12" t="n"/>
      <c r="O68" s="12" t="n"/>
    </row>
    <row r="69">
      <c r="A69" s="28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12" t="n"/>
      <c r="N69" s="12" t="n"/>
      <c r="O69" s="12" t="n"/>
    </row>
    <row r="70">
      <c r="A70" s="28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12" t="n"/>
      <c r="N70" s="12" t="n"/>
      <c r="O70" s="12" t="n"/>
    </row>
    <row r="71">
      <c r="A71" s="28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12" t="n"/>
      <c r="N71" s="12" t="n"/>
      <c r="O71" s="12" t="n"/>
    </row>
    <row r="72">
      <c r="A72" s="28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12" t="n"/>
      <c r="N72" s="12" t="n"/>
      <c r="O72" s="12" t="n"/>
    </row>
    <row r="73">
      <c r="A73" s="28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12" t="n"/>
      <c r="N73" s="12" t="n"/>
      <c r="O73" s="12" t="n"/>
    </row>
    <row r="74">
      <c r="A74" s="28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12" t="n"/>
      <c r="N74" s="12" t="n"/>
      <c r="O74" s="12" t="n"/>
    </row>
    <row r="75">
      <c r="A75" s="28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12" t="n"/>
      <c r="N75" s="12" t="n"/>
      <c r="O75" s="12" t="n"/>
    </row>
    <row r="76">
      <c r="A76" s="28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12" t="n"/>
      <c r="N76" s="12" t="n"/>
      <c r="O76" s="12" t="n"/>
    </row>
    <row r="77">
      <c r="A77" s="28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12" t="n"/>
      <c r="N77" s="12" t="n"/>
      <c r="O77" s="12" t="n"/>
    </row>
    <row r="78">
      <c r="A78" s="28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12" t="n"/>
      <c r="N78" s="12" t="n"/>
      <c r="O78" s="12" t="n"/>
    </row>
    <row r="79">
      <c r="A79" s="28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12" t="n"/>
      <c r="N79" s="12" t="n"/>
      <c r="O79" s="12" t="n"/>
    </row>
    <row r="80">
      <c r="A80" s="28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12" t="n"/>
      <c r="N80" s="12" t="n"/>
      <c r="O80" s="12" t="n"/>
    </row>
    <row r="81">
      <c r="A81" s="28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12" t="n"/>
      <c r="N81" s="12" t="n"/>
      <c r="O81" s="12" t="n"/>
    </row>
    <row r="82">
      <c r="A82" s="28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12" t="n"/>
      <c r="N82" s="12" t="n"/>
      <c r="O82" s="12" t="n"/>
    </row>
    <row r="83">
      <c r="A83" s="28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12" t="n"/>
      <c r="N83" s="12" t="n"/>
      <c r="O83" s="12" t="n"/>
    </row>
    <row r="84">
      <c r="A84" s="28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12" t="n"/>
      <c r="N84" s="12" t="n"/>
      <c r="O84" s="12" t="n"/>
    </row>
    <row r="85">
      <c r="A85" s="28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12" t="n"/>
      <c r="N85" s="12" t="n"/>
      <c r="O85" s="12" t="n"/>
    </row>
    <row r="86">
      <c r="A86" s="28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12" t="n"/>
      <c r="N86" s="12" t="n"/>
      <c r="O86" s="12" t="n"/>
    </row>
    <row r="87">
      <c r="A87" s="28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12" t="n"/>
      <c r="N87" s="12" t="n"/>
      <c r="O87" s="12" t="n"/>
    </row>
    <row r="88">
      <c r="A88" s="28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12" t="n"/>
      <c r="N88" s="12" t="n"/>
      <c r="O88" s="12" t="n"/>
    </row>
    <row r="89">
      <c r="A89" s="28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12" t="n"/>
      <c r="N89" s="12" t="n"/>
      <c r="O89" s="12" t="n"/>
    </row>
    <row r="90">
      <c r="A90" s="28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12" t="n"/>
      <c r="N90" s="12" t="n"/>
      <c r="O90" s="12" t="n"/>
    </row>
    <row r="91">
      <c r="A91" s="28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12" t="n"/>
      <c r="N91" s="12" t="n"/>
      <c r="O91" s="12" t="n"/>
    </row>
    <row r="92">
      <c r="A92" s="28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12" t="n"/>
      <c r="N92" s="12" t="n"/>
      <c r="O92" s="12" t="n"/>
    </row>
    <row r="93">
      <c r="A93" s="28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12" t="n"/>
      <c r="N93" s="12" t="n"/>
      <c r="O93" s="12" t="n"/>
    </row>
    <row r="94">
      <c r="A94" s="28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12" t="n"/>
      <c r="N94" s="12" t="n"/>
      <c r="O94" s="12" t="n"/>
    </row>
    <row r="95">
      <c r="A95" s="28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12" t="n"/>
      <c r="N95" s="12" t="n"/>
      <c r="O95" s="12" t="n"/>
    </row>
    <row r="96">
      <c r="A96" s="28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12" t="n"/>
      <c r="N96" s="12" t="n"/>
      <c r="O96" s="12" t="n"/>
    </row>
    <row r="97">
      <c r="A97" s="28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12" t="n"/>
      <c r="N97" s="12" t="n"/>
      <c r="O97" s="12" t="n"/>
    </row>
    <row r="98">
      <c r="A98" s="28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12" t="n"/>
      <c r="N98" s="12" t="n"/>
      <c r="O98" s="12" t="n"/>
    </row>
    <row r="99">
      <c r="A99" s="28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12" t="n"/>
      <c r="N99" s="12" t="n"/>
      <c r="O99" s="12" t="n"/>
    </row>
    <row r="100">
      <c r="A100" s="28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12" t="n"/>
      <c r="N100" s="12" t="n"/>
      <c r="O100" s="12" t="n"/>
    </row>
    <row r="101">
      <c r="A101" s="28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12" t="n"/>
      <c r="N101" s="12" t="n"/>
      <c r="O101" s="12" t="n"/>
    </row>
    <row r="102">
      <c r="A102" s="28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12" t="n"/>
      <c r="N102" s="12" t="n"/>
      <c r="O102" s="12" t="n"/>
    </row>
    <row r="103">
      <c r="A103" s="28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12" t="n"/>
      <c r="N103" s="12" t="n"/>
      <c r="O103" s="12" t="n"/>
    </row>
    <row r="104">
      <c r="A104" s="28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12" t="n"/>
      <c r="N104" s="12" t="n"/>
      <c r="O104" s="12" t="n"/>
    </row>
    <row r="105">
      <c r="A105" s="28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12" t="n"/>
      <c r="N105" s="12" t="n"/>
      <c r="O105" s="12" t="n"/>
    </row>
    <row r="106">
      <c r="A106" s="28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12" t="n"/>
      <c r="N106" s="12" t="n"/>
      <c r="O106" s="12" t="n"/>
    </row>
    <row r="107">
      <c r="A107" s="28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12" t="n"/>
      <c r="N107" s="12" t="n"/>
      <c r="O107" s="12" t="n"/>
    </row>
    <row r="108">
      <c r="A108" s="28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12" t="n"/>
      <c r="N108" s="12" t="n"/>
      <c r="O108" s="12" t="n"/>
    </row>
    <row r="109">
      <c r="A109" s="28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12" t="n"/>
      <c r="N109" s="12" t="n"/>
      <c r="O109" s="12" t="n"/>
    </row>
    <row r="110">
      <c r="A110" s="28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12" t="n"/>
      <c r="N110" s="12" t="n"/>
      <c r="O110" s="12" t="n"/>
    </row>
    <row r="111">
      <c r="A111" s="28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12" t="n"/>
      <c r="N111" s="12" t="n"/>
      <c r="O111" s="12" t="n"/>
    </row>
    <row r="112">
      <c r="A112" s="28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12" t="n"/>
      <c r="N112" s="12" t="n"/>
      <c r="O112" s="12" t="n"/>
    </row>
    <row r="113">
      <c r="A113" s="28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12" t="n"/>
      <c r="N113" s="12" t="n"/>
      <c r="O113" s="12" t="n"/>
    </row>
    <row r="114">
      <c r="A114" s="28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12" t="n"/>
      <c r="N114" s="12" t="n"/>
      <c r="O114" s="12" t="n"/>
    </row>
    <row r="115">
      <c r="A115" s="28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12" t="n"/>
      <c r="N115" s="12" t="n"/>
      <c r="O115" s="12" t="n"/>
    </row>
    <row r="116">
      <c r="A116" s="28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12" t="n"/>
      <c r="N116" s="12" t="n"/>
      <c r="O116" s="12" t="n"/>
    </row>
    <row r="117">
      <c r="A117" s="28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12" t="n"/>
      <c r="N117" s="12" t="n"/>
      <c r="O117" s="12" t="n"/>
    </row>
    <row r="118">
      <c r="A118" s="28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12" t="n"/>
      <c r="N118" s="12" t="n"/>
      <c r="O118" s="12" t="n"/>
    </row>
    <row r="119">
      <c r="A119" s="28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12" t="n"/>
      <c r="N119" s="12" t="n"/>
      <c r="O119" s="12" t="n"/>
    </row>
    <row r="120">
      <c r="A120" s="28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12" t="n"/>
      <c r="N120" s="12" t="n"/>
      <c r="O120" s="12" t="n"/>
    </row>
    <row r="121">
      <c r="A121" s="28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12" t="n"/>
      <c r="N121" s="12" t="n"/>
      <c r="O121" s="12" t="n"/>
    </row>
    <row r="122">
      <c r="A122" s="28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12" t="n"/>
      <c r="N122" s="12" t="n"/>
      <c r="O122" s="12" t="n"/>
    </row>
    <row r="123">
      <c r="A123" s="28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12" t="n"/>
      <c r="N123" s="12" t="n"/>
      <c r="O123" s="12" t="n"/>
    </row>
    <row r="124">
      <c r="A124" s="28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12" t="n"/>
      <c r="N124" s="12" t="n"/>
      <c r="O124" s="12" t="n"/>
    </row>
    <row r="125">
      <c r="A125" s="28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12" t="n"/>
      <c r="N125" s="12" t="n"/>
      <c r="O125" s="12" t="n"/>
    </row>
    <row r="126">
      <c r="A126" s="28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12" t="n"/>
      <c r="N126" s="12" t="n"/>
      <c r="O126" s="12" t="n"/>
    </row>
    <row r="127">
      <c r="A127" s="28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12" t="n"/>
      <c r="N127" s="12" t="n"/>
      <c r="O127" s="12" t="n"/>
    </row>
    <row r="128">
      <c r="A128" s="28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12" t="n"/>
      <c r="N128" s="12" t="n"/>
      <c r="O128" s="12" t="n"/>
    </row>
    <row r="129">
      <c r="A129" s="28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12" t="n"/>
      <c r="N129" s="12" t="n"/>
      <c r="O129" s="12" t="n"/>
    </row>
    <row r="130">
      <c r="A130" s="28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12" t="n"/>
      <c r="N130" s="12" t="n"/>
      <c r="O130" s="12" t="n"/>
    </row>
    <row r="131">
      <c r="A131" s="28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12" t="n"/>
      <c r="N131" s="12" t="n"/>
      <c r="O131" s="12" t="n"/>
    </row>
    <row r="132">
      <c r="A132" s="28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12" t="n"/>
      <c r="N132" s="12" t="n"/>
      <c r="O132" s="12" t="n"/>
    </row>
    <row r="133">
      <c r="A133" s="28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12" t="n"/>
      <c r="N133" s="12" t="n"/>
      <c r="O133" s="12" t="n"/>
    </row>
    <row r="134">
      <c r="A134" s="28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12" t="n"/>
      <c r="N134" s="12" t="n"/>
      <c r="O134" s="12" t="n"/>
    </row>
    <row r="135">
      <c r="A135" s="28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12" t="n"/>
      <c r="N135" s="12" t="n"/>
      <c r="O135" s="12" t="n"/>
    </row>
    <row r="136">
      <c r="A136" s="28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12" t="n"/>
      <c r="N136" s="12" t="n"/>
      <c r="O136" s="12" t="n"/>
    </row>
    <row r="137">
      <c r="A137" s="28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12" t="n"/>
      <c r="N137" s="12" t="n"/>
      <c r="O137" s="12" t="n"/>
    </row>
    <row r="138">
      <c r="A138" s="28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12" t="n"/>
      <c r="N138" s="12" t="n"/>
      <c r="O138" s="12" t="n"/>
    </row>
    <row r="139">
      <c r="A139" s="28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12" t="n"/>
      <c r="N139" s="12" t="n"/>
      <c r="O139" s="12" t="n"/>
    </row>
    <row r="140">
      <c r="A140" s="28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12" t="n"/>
      <c r="N140" s="12" t="n"/>
      <c r="O140" s="12" t="n"/>
    </row>
    <row r="141">
      <c r="A141" s="28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12" t="n"/>
      <c r="N141" s="12" t="n"/>
      <c r="O141" s="12" t="n"/>
    </row>
    <row r="142">
      <c r="A142" s="28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12" t="n"/>
      <c r="N142" s="12" t="n"/>
      <c r="O142" s="12" t="n"/>
    </row>
    <row r="143">
      <c r="A143" s="28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12" t="n"/>
      <c r="N143" s="12" t="n"/>
      <c r="O143" s="12" t="n"/>
    </row>
    <row r="144">
      <c r="A144" s="28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12" t="n"/>
      <c r="N144" s="12" t="n"/>
      <c r="O144" s="12" t="n"/>
    </row>
    <row r="145">
      <c r="A145" s="28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12" t="n"/>
      <c r="N145" s="12" t="n"/>
      <c r="O145" s="12" t="n"/>
    </row>
    <row r="146">
      <c r="A146" s="28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12" t="n"/>
      <c r="N146" s="12" t="n"/>
      <c r="O146" s="12" t="n"/>
    </row>
    <row r="147">
      <c r="A147" s="28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12" t="n"/>
      <c r="N147" s="12" t="n"/>
      <c r="O147" s="12" t="n"/>
    </row>
    <row r="148">
      <c r="A148" s="28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12" t="n"/>
      <c r="N148" s="12" t="n"/>
      <c r="O148" s="12" t="n"/>
    </row>
    <row r="149">
      <c r="A149" s="28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12" t="n"/>
      <c r="N149" s="12" t="n"/>
      <c r="O149" s="12" t="n"/>
    </row>
    <row r="150">
      <c r="A150" s="28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12" t="n"/>
      <c r="N150" s="12" t="n"/>
      <c r="O150" s="12" t="n"/>
    </row>
    <row r="151">
      <c r="A151" s="28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12" t="n"/>
      <c r="N151" s="12" t="n"/>
      <c r="O151" s="12" t="n"/>
    </row>
    <row r="152">
      <c r="A152" s="28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12" t="n"/>
      <c r="N152" s="12" t="n"/>
      <c r="O152" s="12" t="n"/>
    </row>
    <row r="153">
      <c r="A153" s="28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12" t="n"/>
      <c r="N153" s="12" t="n"/>
      <c r="O153" s="12" t="n"/>
    </row>
    <row r="154">
      <c r="A154" s="28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12" t="n"/>
      <c r="N154" s="12" t="n"/>
      <c r="O154" s="12" t="n"/>
    </row>
    <row r="155">
      <c r="A155" s="28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12" t="n"/>
      <c r="N155" s="12" t="n"/>
      <c r="O155" s="12" t="n"/>
    </row>
    <row r="156">
      <c r="A156" s="28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12" t="n"/>
      <c r="N156" s="12" t="n"/>
      <c r="O156" s="12" t="n"/>
    </row>
    <row r="157">
      <c r="A157" s="28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12" t="n"/>
      <c r="N157" s="12" t="n"/>
      <c r="O157" s="12" t="n"/>
    </row>
    <row r="158">
      <c r="A158" s="28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12" t="n"/>
      <c r="N158" s="12" t="n"/>
      <c r="O158" s="12" t="n"/>
    </row>
    <row r="159">
      <c r="A159" s="28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12" t="n"/>
      <c r="N159" s="12" t="n"/>
      <c r="O159" s="12" t="n"/>
    </row>
    <row r="160">
      <c r="A160" s="28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12" t="n"/>
      <c r="N160" s="12" t="n"/>
      <c r="O160" s="12" t="n"/>
    </row>
    <row r="161">
      <c r="A161" s="28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12" t="n"/>
      <c r="N161" s="12" t="n"/>
      <c r="O161" s="12" t="n"/>
    </row>
    <row r="162">
      <c r="A162" s="28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12" t="n"/>
      <c r="N162" s="12" t="n"/>
      <c r="O162" s="12" t="n"/>
    </row>
    <row r="163">
      <c r="A163" s="28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12" t="n"/>
      <c r="N163" s="12" t="n"/>
      <c r="O163" s="12" t="n"/>
    </row>
    <row r="164">
      <c r="A164" s="28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12" t="n"/>
      <c r="N164" s="12" t="n"/>
      <c r="O164" s="12" t="n"/>
    </row>
    <row r="165">
      <c r="A165" s="28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12" t="n"/>
      <c r="N165" s="12" t="n"/>
      <c r="O165" s="12" t="n"/>
    </row>
    <row r="166">
      <c r="A166" s="28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12" t="n"/>
      <c r="N166" s="12" t="n"/>
      <c r="O166" s="12" t="n"/>
    </row>
    <row r="167">
      <c r="A167" s="28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12" t="n"/>
      <c r="N167" s="12" t="n"/>
      <c r="O167" s="12" t="n"/>
    </row>
    <row r="168">
      <c r="A168" s="28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12" t="n"/>
      <c r="N168" s="12" t="n"/>
      <c r="O168" s="12" t="n"/>
    </row>
    <row r="169">
      <c r="A169" s="28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12" t="n"/>
      <c r="N169" s="12" t="n"/>
      <c r="O169" s="12" t="n"/>
    </row>
    <row r="170">
      <c r="A170" s="28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12" t="n"/>
      <c r="N170" s="12" t="n"/>
      <c r="O170" s="12" t="n"/>
    </row>
    <row r="171">
      <c r="A171" s="28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12" t="n"/>
      <c r="N171" s="12" t="n"/>
      <c r="O171" s="12" t="n"/>
    </row>
    <row r="172">
      <c r="A172" s="28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12" t="n"/>
      <c r="N172" s="12" t="n"/>
      <c r="O172" s="12" t="n"/>
    </row>
    <row r="173">
      <c r="A173" s="28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12" t="n"/>
      <c r="N173" s="12" t="n"/>
      <c r="O173" s="12" t="n"/>
    </row>
    <row r="174">
      <c r="A174" s="28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12" t="n"/>
      <c r="N174" s="12" t="n"/>
      <c r="O174" s="12" t="n"/>
    </row>
    <row r="175">
      <c r="A175" s="28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12" t="n"/>
      <c r="N175" s="12" t="n"/>
      <c r="O175" s="12" t="n"/>
    </row>
    <row r="176">
      <c r="A176" s="28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12" t="n"/>
      <c r="N176" s="12" t="n"/>
      <c r="O176" s="12" t="n"/>
    </row>
    <row r="177">
      <c r="A177" s="28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12" t="n"/>
      <c r="N177" s="12" t="n"/>
      <c r="O177" s="12" t="n"/>
    </row>
    <row r="178">
      <c r="A178" s="28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12" t="n"/>
      <c r="N178" s="12" t="n"/>
      <c r="O178" s="12" t="n"/>
    </row>
    <row r="179">
      <c r="A179" s="28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12" t="n"/>
      <c r="N179" s="12" t="n"/>
      <c r="O179" s="12" t="n"/>
    </row>
    <row r="180">
      <c r="A180" s="28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12" t="n"/>
      <c r="N180" s="12" t="n"/>
      <c r="O180" s="12" t="n"/>
    </row>
    <row r="181">
      <c r="A181" s="28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12" t="n"/>
      <c r="N181" s="12" t="n"/>
      <c r="O181" s="12" t="n"/>
    </row>
    <row r="182">
      <c r="A182" s="28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12" t="n"/>
      <c r="N182" s="12" t="n"/>
      <c r="O182" s="12" t="n"/>
    </row>
    <row r="183">
      <c r="A183" s="28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12" t="n"/>
      <c r="N183" s="12" t="n"/>
      <c r="O183" s="12" t="n"/>
    </row>
    <row r="184">
      <c r="A184" s="28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12" t="n"/>
      <c r="N184" s="12" t="n"/>
      <c r="O184" s="12" t="n"/>
    </row>
    <row r="185">
      <c r="A185" s="28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12" t="n"/>
      <c r="N185" s="12" t="n"/>
      <c r="O185" s="12" t="n"/>
    </row>
    <row r="186">
      <c r="A186" s="28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12" t="n"/>
      <c r="N186" s="12" t="n"/>
      <c r="O186" s="12" t="n"/>
    </row>
    <row r="187">
      <c r="A187" s="28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12" t="n"/>
      <c r="N187" s="12" t="n"/>
      <c r="O187" s="12" t="n"/>
    </row>
    <row r="188">
      <c r="A188" s="28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12" t="n"/>
      <c r="N188" s="12" t="n"/>
      <c r="O188" s="12" t="n"/>
    </row>
    <row r="189">
      <c r="A189" s="28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12" t="n"/>
      <c r="N189" s="12" t="n"/>
      <c r="O189" s="12" t="n"/>
    </row>
    <row r="190">
      <c r="A190" s="28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12" t="n"/>
      <c r="N190" s="12" t="n"/>
      <c r="O190" s="12" t="n"/>
    </row>
    <row r="191">
      <c r="A191" s="28" t="n"/>
      <c r="B191" s="37">
        <f>+COUNTA(C6:C91)</f>
        <v/>
      </c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12" t="n"/>
      <c r="N191" s="12" t="n"/>
      <c r="O191" s="12" t="n"/>
    </row>
    <row r="192">
      <c r="A192" s="28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12" t="n"/>
      <c r="N192" s="12" t="n"/>
      <c r="O192" s="12" t="n"/>
    </row>
    <row r="193">
      <c r="A193" s="28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12" t="n"/>
      <c r="N193" s="12" t="n"/>
      <c r="O193" s="12" t="n"/>
    </row>
    <row r="194">
      <c r="A194" s="28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12" t="n"/>
      <c r="N194" s="12" t="n"/>
      <c r="O194" s="12" t="n"/>
    </row>
    <row r="195">
      <c r="A195" s="28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12" t="n"/>
      <c r="N195" s="12" t="n"/>
      <c r="O195" s="12" t="n"/>
    </row>
    <row r="196">
      <c r="A196" s="28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12" t="n"/>
      <c r="N196" s="12" t="n"/>
      <c r="O196" s="12" t="n"/>
    </row>
    <row r="197">
      <c r="A197" s="28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12" t="n"/>
      <c r="N197" s="12" t="n"/>
      <c r="O197" s="12" t="n"/>
    </row>
    <row r="198">
      <c r="A198" s="28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12" t="n"/>
      <c r="N198" s="12" t="n"/>
      <c r="O198" s="12" t="n"/>
    </row>
    <row r="199">
      <c r="A199" s="28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12" t="n"/>
      <c r="N199" s="12" t="n"/>
      <c r="O199" s="12" t="n"/>
    </row>
    <row r="200">
      <c r="A200" s="28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12" t="n"/>
      <c r="N200" s="12" t="n"/>
      <c r="O200" s="12" t="n"/>
    </row>
    <row r="201">
      <c r="A201" s="28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12" t="n"/>
      <c r="N201" s="12" t="n"/>
      <c r="O201" s="12" t="n"/>
    </row>
    <row r="202">
      <c r="A202" s="28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12" t="n"/>
      <c r="N202" s="12" t="n"/>
      <c r="O202" s="12" t="n"/>
    </row>
    <row r="203">
      <c r="A203" s="28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12" t="n"/>
      <c r="N203" s="12" t="n"/>
      <c r="O203" s="12" t="n"/>
    </row>
    <row r="204">
      <c r="A204" s="28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12" t="n"/>
      <c r="N204" s="12" t="n"/>
      <c r="O204" s="12" t="n"/>
    </row>
    <row r="205">
      <c r="A205" s="28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12" t="n"/>
      <c r="N205" s="12" t="n"/>
      <c r="O205" s="12" t="n"/>
    </row>
    <row r="206">
      <c r="A206" s="28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12" t="n"/>
      <c r="N206" s="12" t="n"/>
      <c r="O206" s="12" t="n"/>
    </row>
    <row r="207">
      <c r="A207" s="28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12" t="n"/>
      <c r="N207" s="12" t="n"/>
      <c r="O207" s="12" t="n"/>
    </row>
    <row r="208">
      <c r="A208" s="28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12" t="n"/>
      <c r="N208" s="12" t="n"/>
      <c r="O208" s="12" t="n"/>
    </row>
    <row r="209">
      <c r="A209" s="28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12" t="n"/>
      <c r="N209" s="12" t="n"/>
      <c r="O209" s="12" t="n"/>
    </row>
    <row r="210">
      <c r="A210" s="28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12" t="n"/>
      <c r="N210" s="12" t="n"/>
      <c r="O210" s="12" t="n"/>
    </row>
    <row r="211">
      <c r="A211" s="28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12" t="n"/>
      <c r="N211" s="12" t="n"/>
      <c r="O211" s="12" t="n"/>
    </row>
    <row r="212">
      <c r="A212" s="28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12" t="n"/>
      <c r="N212" s="12" t="n"/>
      <c r="O212" s="12" t="n"/>
    </row>
    <row r="213">
      <c r="A213" s="28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12" t="n"/>
      <c r="N213" s="12" t="n"/>
      <c r="O213" s="12" t="n"/>
    </row>
    <row r="214">
      <c r="A214" s="28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12" t="n"/>
      <c r="N214" s="12" t="n"/>
      <c r="O214" s="12" t="n"/>
    </row>
    <row r="215">
      <c r="A215" s="28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12" t="n"/>
      <c r="N215" s="12" t="n"/>
      <c r="O215" s="12" t="n"/>
    </row>
    <row r="216">
      <c r="A216" s="28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12" t="n"/>
      <c r="N216" s="12" t="n"/>
      <c r="O216" s="12" t="n"/>
    </row>
    <row r="217">
      <c r="A217" s="28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12" t="n"/>
      <c r="N217" s="12" t="n"/>
      <c r="O217" s="12" t="n"/>
    </row>
    <row r="218">
      <c r="A218" s="28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12" t="n"/>
      <c r="N218" s="12" t="n"/>
      <c r="O218" s="12" t="n"/>
    </row>
    <row r="219">
      <c r="A219" s="28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12" t="n"/>
      <c r="N219" s="12" t="n"/>
      <c r="O219" s="12" t="n"/>
    </row>
    <row r="220">
      <c r="A220" s="28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12" t="n"/>
      <c r="N220" s="12" t="n"/>
      <c r="O220" s="12" t="n"/>
    </row>
    <row r="221">
      <c r="A221" s="28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12" t="n"/>
      <c r="N221" s="12" t="n"/>
      <c r="O221" s="12" t="n"/>
    </row>
    <row r="222">
      <c r="A222" s="28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12" t="n"/>
      <c r="N222" s="12" t="n"/>
      <c r="O222" s="12" t="n"/>
    </row>
    <row r="223">
      <c r="A223" s="28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12" t="n"/>
      <c r="N223" s="12" t="n"/>
      <c r="O223" s="12" t="n"/>
    </row>
    <row r="224">
      <c r="A224" s="28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12" t="n"/>
      <c r="N224" s="12" t="n"/>
      <c r="O224" s="12" t="n"/>
    </row>
    <row r="225">
      <c r="A225" s="28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12" t="n"/>
      <c r="N225" s="12" t="n"/>
      <c r="O225" s="12" t="n"/>
    </row>
    <row r="226">
      <c r="A226" s="28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12" t="n"/>
      <c r="N226" s="12" t="n"/>
      <c r="O226" s="12" t="n"/>
    </row>
    <row r="227">
      <c r="A227" s="28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12" t="n"/>
      <c r="N227" s="12" t="n"/>
      <c r="O227" s="12" t="n"/>
    </row>
    <row r="228">
      <c r="A228" s="28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12" t="n"/>
      <c r="N228" s="12" t="n"/>
      <c r="O228" s="12" t="n"/>
    </row>
    <row r="229">
      <c r="A229" s="28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12" t="n"/>
      <c r="N229" s="12" t="n"/>
      <c r="O229" s="12" t="n"/>
    </row>
    <row r="230">
      <c r="A230" s="28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12" t="n"/>
      <c r="N230" s="12" t="n"/>
      <c r="O230" s="12" t="n"/>
    </row>
    <row r="231">
      <c r="A231" s="28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12" t="n"/>
      <c r="N231" s="12" t="n"/>
      <c r="O231" s="12" t="n"/>
    </row>
    <row r="232">
      <c r="A232" s="28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12" t="n"/>
      <c r="N232" s="12" t="n"/>
      <c r="O232" s="12" t="n"/>
    </row>
    <row r="233">
      <c r="A233" s="28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12" t="n"/>
      <c r="N233" s="12" t="n"/>
      <c r="O233" s="12" t="n"/>
    </row>
    <row r="234">
      <c r="A234" s="28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12" t="n"/>
      <c r="N234" s="12" t="n"/>
      <c r="O234" s="12" t="n"/>
    </row>
    <row r="235">
      <c r="A235" s="28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12" t="n"/>
      <c r="N235" s="12" t="n"/>
      <c r="O235" s="12" t="n"/>
    </row>
    <row r="236">
      <c r="A236" s="28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12" t="n"/>
      <c r="N236" s="12" t="n"/>
      <c r="O236" s="12" t="n"/>
    </row>
    <row r="237">
      <c r="A237" s="28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12" t="n"/>
      <c r="N237" s="12" t="n"/>
      <c r="O237" s="12" t="n"/>
    </row>
    <row r="238">
      <c r="A238" s="28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12" t="n"/>
      <c r="N238" s="12" t="n"/>
      <c r="O238" s="12" t="n"/>
    </row>
    <row r="239">
      <c r="A239" s="28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12" t="n"/>
      <c r="N239" s="12" t="n"/>
      <c r="O239" s="12" t="n"/>
    </row>
    <row r="240">
      <c r="A240" s="28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12" t="n"/>
      <c r="N240" s="12" t="n"/>
      <c r="O240" s="12" t="n"/>
    </row>
    <row r="241">
      <c r="A241" s="28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12" t="n"/>
      <c r="N241" s="12" t="n"/>
      <c r="O241" s="12" t="n"/>
    </row>
    <row r="242">
      <c r="A242" s="28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12" t="n"/>
      <c r="N242" s="12" t="n"/>
      <c r="O242" s="12" t="n"/>
    </row>
    <row r="243">
      <c r="A243" s="28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12" t="n"/>
      <c r="N243" s="12" t="n"/>
      <c r="O243" s="12" t="n"/>
    </row>
    <row r="244">
      <c r="A244" s="28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12" t="n"/>
      <c r="N244" s="12" t="n"/>
      <c r="O244" s="12" t="n"/>
    </row>
    <row r="245">
      <c r="A245" s="28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12" t="n"/>
      <c r="N245" s="12" t="n"/>
      <c r="O245" s="12" t="n"/>
    </row>
    <row r="246">
      <c r="A246" s="28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12" t="n"/>
      <c r="N246" s="12" t="n"/>
      <c r="O246" s="12" t="n"/>
    </row>
    <row r="247">
      <c r="A247" s="28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12" t="n"/>
      <c r="N247" s="12" t="n"/>
      <c r="O247" s="12" t="n"/>
    </row>
    <row r="248">
      <c r="A248" s="28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12" t="n"/>
      <c r="N248" s="12" t="n"/>
      <c r="O248" s="12" t="n"/>
    </row>
    <row r="249">
      <c r="A249" s="28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12" t="n"/>
      <c r="N249" s="12" t="n"/>
      <c r="O249" s="12" t="n"/>
    </row>
    <row r="250">
      <c r="A250" s="28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12" t="n"/>
      <c r="N250" s="12" t="n"/>
      <c r="O250" s="12" t="n"/>
    </row>
    <row r="251">
      <c r="A251" s="28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12" t="n"/>
      <c r="N251" s="12" t="n"/>
      <c r="O251" s="12" t="n"/>
    </row>
    <row r="252">
      <c r="A252" s="28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12" t="n"/>
      <c r="N252" s="12" t="n"/>
      <c r="O252" s="12" t="n"/>
    </row>
    <row r="253">
      <c r="A253" s="28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12" t="n"/>
      <c r="N253" s="12" t="n"/>
      <c r="O253" s="12" t="n"/>
    </row>
    <row r="254">
      <c r="A254" s="28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12" t="n"/>
      <c r="N254" s="12" t="n"/>
      <c r="O254" s="12" t="n"/>
    </row>
    <row r="255">
      <c r="A255" s="28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12" t="n"/>
      <c r="N255" s="12" t="n"/>
      <c r="O255" s="12" t="n"/>
    </row>
    <row r="256">
      <c r="A256" s="28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12" t="n"/>
      <c r="N256" s="12" t="n"/>
      <c r="O256" s="12" t="n"/>
    </row>
    <row r="257">
      <c r="A257" s="28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12" t="n"/>
      <c r="N257" s="12" t="n"/>
      <c r="O257" s="12" t="n"/>
    </row>
    <row r="258">
      <c r="A258" s="28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12" t="n"/>
      <c r="N258" s="12" t="n"/>
      <c r="O258" s="12" t="n"/>
    </row>
    <row r="259">
      <c r="A259" s="28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12" t="n"/>
      <c r="N259" s="12" t="n"/>
      <c r="O259" s="12" t="n"/>
    </row>
    <row r="260">
      <c r="A260" s="28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12" t="n"/>
      <c r="N260" s="12" t="n"/>
      <c r="O260" s="12" t="n"/>
    </row>
    <row r="261">
      <c r="A261" s="28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12" t="n"/>
      <c r="N261" s="12" t="n"/>
      <c r="O261" s="12" t="n"/>
    </row>
    <row r="262">
      <c r="A262" s="28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12" t="n"/>
      <c r="N262" s="12" t="n"/>
      <c r="O262" s="12" t="n"/>
    </row>
    <row r="263">
      <c r="A263" s="28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12" t="n"/>
      <c r="N263" s="12" t="n"/>
      <c r="O263" s="12" t="n"/>
    </row>
    <row r="264">
      <c r="A264" s="28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12" t="n"/>
      <c r="N264" s="12" t="n"/>
      <c r="O264" s="12" t="n"/>
    </row>
    <row r="265">
      <c r="A265" s="28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12" t="n"/>
      <c r="N265" s="12" t="n"/>
      <c r="O265" s="12" t="n"/>
    </row>
    <row r="266">
      <c r="A266" s="28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12" t="n"/>
      <c r="N266" s="12" t="n"/>
      <c r="O266" s="12" t="n"/>
    </row>
    <row r="267">
      <c r="A267" s="28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12" t="n"/>
      <c r="N267" s="12" t="n"/>
      <c r="O267" s="12" t="n"/>
    </row>
    <row r="268">
      <c r="A268" s="28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12" t="n"/>
      <c r="N268" s="12" t="n"/>
      <c r="O268" s="12" t="n"/>
    </row>
    <row r="269">
      <c r="A269" s="28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12" t="n"/>
      <c r="N269" s="12" t="n"/>
      <c r="O269" s="12" t="n"/>
    </row>
    <row r="270">
      <c r="A270" s="28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12" t="n"/>
      <c r="N270" s="12" t="n"/>
      <c r="O270" s="12" t="n"/>
    </row>
    <row r="271">
      <c r="A271" s="28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12" t="n"/>
      <c r="N271" s="12" t="n"/>
      <c r="O271" s="12" t="n"/>
    </row>
    <row r="272">
      <c r="A272" s="28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12" t="n"/>
      <c r="N272" s="12" t="n"/>
      <c r="O272" s="12" t="n"/>
    </row>
    <row r="273">
      <c r="A273" s="28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12" t="n"/>
      <c r="N273" s="12" t="n"/>
      <c r="O273" s="12" t="n"/>
    </row>
    <row r="274">
      <c r="A274" s="28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12" t="n"/>
      <c r="N274" s="12" t="n"/>
      <c r="O274" s="12" t="n"/>
    </row>
    <row r="275">
      <c r="A275" s="28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12" t="n"/>
      <c r="N275" s="12" t="n"/>
      <c r="O275" s="12" t="n"/>
    </row>
    <row r="276">
      <c r="A276" s="28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12" t="n"/>
      <c r="N276" s="12" t="n"/>
      <c r="O276" s="12" t="n"/>
    </row>
    <row r="277">
      <c r="A277" s="28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12" t="n"/>
      <c r="N277" s="12" t="n"/>
      <c r="O277" s="12" t="n"/>
    </row>
    <row r="278">
      <c r="A278" s="28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12" t="n"/>
      <c r="N278" s="12" t="n"/>
      <c r="O278" s="12" t="n"/>
    </row>
    <row r="279">
      <c r="A279" s="28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12" t="n"/>
      <c r="N279" s="12" t="n"/>
      <c r="O279" s="12" t="n"/>
    </row>
    <row r="280">
      <c r="A280" s="28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12" t="n"/>
      <c r="N280" s="12" t="n"/>
      <c r="O280" s="12" t="n"/>
    </row>
    <row r="281">
      <c r="A281" s="28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12" t="n"/>
      <c r="N281" s="12" t="n"/>
      <c r="O281" s="12" t="n"/>
    </row>
    <row r="282">
      <c r="A282" s="28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12" t="n"/>
      <c r="N282" s="12" t="n"/>
      <c r="O282" s="12" t="n"/>
    </row>
    <row r="283">
      <c r="A283" s="28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12" t="n"/>
      <c r="N283" s="12" t="n"/>
      <c r="O283" s="12" t="n"/>
    </row>
    <row r="284">
      <c r="A284" s="28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12" t="n"/>
      <c r="N284" s="12" t="n"/>
      <c r="O284" s="12" t="n"/>
    </row>
    <row r="285">
      <c r="A285" s="28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12" t="n"/>
      <c r="N285" s="12" t="n"/>
      <c r="O285" s="12" t="n"/>
    </row>
    <row r="286">
      <c r="A286" s="28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12" t="n"/>
      <c r="N286" s="12" t="n"/>
      <c r="O286" s="12" t="n"/>
    </row>
    <row r="287">
      <c r="A287" s="28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12" t="n"/>
      <c r="N287" s="12" t="n"/>
      <c r="O287" s="12" t="n"/>
    </row>
    <row r="288">
      <c r="A288" s="28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12" t="n"/>
      <c r="N288" s="12" t="n"/>
      <c r="O288" s="12" t="n"/>
    </row>
    <row r="289">
      <c r="A289" s="28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12" t="n"/>
      <c r="N289" s="12" t="n"/>
      <c r="O289" s="12" t="n"/>
    </row>
    <row r="290">
      <c r="A290" s="28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12" t="n"/>
      <c r="N290" s="12" t="n"/>
      <c r="O290" s="12" t="n"/>
    </row>
    <row r="291">
      <c r="A291" s="28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12" t="n"/>
      <c r="N291" s="12" t="n"/>
      <c r="O291" s="12" t="n"/>
    </row>
    <row r="292">
      <c r="A292" s="28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12" t="n"/>
      <c r="N292" s="12" t="n"/>
      <c r="O292" s="12" t="n"/>
    </row>
    <row r="293">
      <c r="A293" s="28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12" t="n"/>
      <c r="N293" s="12" t="n"/>
      <c r="O293" s="12" t="n"/>
    </row>
    <row r="294">
      <c r="A294" s="28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12" t="n"/>
      <c r="N294" s="12" t="n"/>
      <c r="O294" s="12" t="n"/>
    </row>
    <row r="295">
      <c r="A295" s="28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12" t="n"/>
      <c r="N295" s="12" t="n"/>
      <c r="O295" s="12" t="n"/>
    </row>
    <row r="296">
      <c r="A296" s="28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12" t="n"/>
      <c r="N296" s="12" t="n"/>
      <c r="O296" s="12" t="n"/>
    </row>
    <row r="297">
      <c r="A297" s="28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12" t="n"/>
      <c r="N297" s="12" t="n"/>
      <c r="O297" s="12" t="n"/>
    </row>
    <row r="298">
      <c r="A298" s="28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12" t="n"/>
      <c r="N298" s="12" t="n"/>
      <c r="O298" s="12" t="n"/>
    </row>
    <row r="299">
      <c r="A299" s="28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12" t="n"/>
      <c r="N299" s="12" t="n"/>
      <c r="O299" s="12" t="n"/>
    </row>
    <row r="300">
      <c r="A300" s="28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12" t="n"/>
      <c r="N300" s="12" t="n"/>
      <c r="O300" s="12" t="n"/>
    </row>
    <row r="301">
      <c r="A301" s="28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12" t="n"/>
      <c r="N301" s="12" t="n"/>
      <c r="O301" s="12" t="n"/>
    </row>
    <row r="302">
      <c r="A302" s="28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12" t="n"/>
      <c r="N302" s="12" t="n"/>
      <c r="O302" s="12" t="n"/>
    </row>
    <row r="303">
      <c r="A303" s="28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12" t="n"/>
      <c r="N303" s="12" t="n"/>
      <c r="O303" s="12" t="n"/>
    </row>
    <row r="304">
      <c r="A304" s="28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12" t="n"/>
      <c r="N304" s="12" t="n"/>
      <c r="O304" s="12" t="n"/>
    </row>
    <row r="305">
      <c r="A305" s="28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12" t="n"/>
      <c r="N305" s="12" t="n"/>
      <c r="O305" s="12" t="n"/>
    </row>
    <row r="306">
      <c r="A306" s="28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12" t="n"/>
      <c r="N306" s="12" t="n"/>
      <c r="O306" s="12" t="n"/>
    </row>
    <row r="307">
      <c r="A307" s="28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12" t="n"/>
      <c r="N307" s="12" t="n"/>
      <c r="O307" s="12" t="n"/>
    </row>
    <row r="308">
      <c r="A308" s="28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12" t="n"/>
      <c r="N308" s="12" t="n"/>
      <c r="O308" s="12" t="n"/>
    </row>
    <row r="309">
      <c r="A309" s="28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12" t="n"/>
      <c r="N309" s="12" t="n"/>
      <c r="O309" s="12" t="n"/>
    </row>
    <row r="310">
      <c r="A310" s="28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12" t="n"/>
      <c r="N310" s="12" t="n"/>
      <c r="O310" s="12" t="n"/>
    </row>
    <row r="311">
      <c r="A311" s="28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12" t="n"/>
      <c r="N311" s="12" t="n"/>
      <c r="O311" s="12" t="n"/>
    </row>
    <row r="312">
      <c r="A312" s="28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12" t="n"/>
      <c r="N312" s="12" t="n"/>
      <c r="O312" s="12" t="n"/>
    </row>
    <row r="313">
      <c r="A313" s="28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12" t="n"/>
      <c r="N313" s="12" t="n"/>
      <c r="O313" s="12" t="n"/>
    </row>
    <row r="314">
      <c r="A314" s="28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12" t="n"/>
      <c r="N314" s="12" t="n"/>
      <c r="O314" s="12" t="n"/>
    </row>
    <row r="315">
      <c r="A315" s="28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12" t="n"/>
      <c r="N315" s="12" t="n"/>
      <c r="O315" s="12" t="n"/>
    </row>
    <row r="316">
      <c r="A316" s="28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12" t="n"/>
      <c r="N316" s="12" t="n"/>
      <c r="O316" s="12" t="n"/>
    </row>
    <row r="317">
      <c r="A317" s="28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</row>
    <row r="318">
      <c r="A318" s="28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</row>
    <row r="319">
      <c r="A319" s="28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</row>
    <row r="320">
      <c r="A320" s="28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</row>
    <row r="321">
      <c r="A321" s="28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</row>
    <row r="322">
      <c r="A322" s="28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</row>
    <row r="323">
      <c r="A323" s="28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</row>
    <row r="324">
      <c r="A324" s="28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</row>
    <row r="325">
      <c r="A325" s="28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</row>
    <row r="326">
      <c r="A326" s="28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</row>
    <row r="327">
      <c r="A327" s="28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</row>
    <row r="328">
      <c r="A328" s="28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</row>
    <row r="329">
      <c r="A329" s="28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</row>
    <row r="330">
      <c r="A330" s="28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</row>
    <row r="331">
      <c r="A331" s="28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</row>
    <row r="332">
      <c r="A332" s="28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</row>
    <row r="333">
      <c r="A333" s="28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</row>
    <row r="334">
      <c r="A334" s="28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</row>
    <row r="335">
      <c r="A335" s="28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</row>
    <row r="336">
      <c r="A336" s="28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</row>
    <row r="337">
      <c r="A337" s="28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</row>
    <row r="338">
      <c r="A338" s="28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</row>
    <row r="339">
      <c r="A339" s="28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</row>
    <row r="340">
      <c r="A340" s="28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</row>
    <row r="341">
      <c r="A341" s="28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</row>
    <row r="342">
      <c r="A342" s="28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</row>
    <row r="343">
      <c r="A343" s="28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</row>
    <row r="344">
      <c r="A344" s="28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</row>
    <row r="345">
      <c r="A345" s="28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</row>
    <row r="346">
      <c r="A346" s="28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</row>
    <row r="347">
      <c r="A347" s="28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</row>
    <row r="348">
      <c r="A348" s="28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</row>
    <row r="349">
      <c r="A349" s="28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</row>
    <row r="350">
      <c r="A350" s="28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</row>
    <row r="351">
      <c r="A351" s="28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</row>
    <row r="352">
      <c r="A352" s="28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</row>
    <row r="353">
      <c r="A353" s="28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</row>
    <row r="354">
      <c r="A354" s="28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</row>
    <row r="355">
      <c r="A355" s="28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</row>
    <row r="356">
      <c r="A356" s="28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</row>
    <row r="357">
      <c r="A357" s="28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</row>
    <row r="358">
      <c r="A358" s="28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</row>
    <row r="359">
      <c r="A359" s="28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</row>
    <row r="360">
      <c r="A360" s="28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</row>
    <row r="361">
      <c r="A361" s="28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</row>
    <row r="362">
      <c r="A362" s="28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</row>
    <row r="363">
      <c r="A363" s="28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</row>
    <row r="364">
      <c r="A364" s="28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</row>
    <row r="365">
      <c r="A365" s="28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</row>
    <row r="366">
      <c r="A366" s="28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</row>
    <row r="367">
      <c r="A367" s="28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</row>
    <row r="368">
      <c r="A368" s="28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</row>
    <row r="369">
      <c r="A369" s="28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</row>
    <row r="370">
      <c r="A370" s="28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</row>
    <row r="371">
      <c r="A371" s="28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</row>
    <row r="372">
      <c r="A372" s="28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</row>
    <row r="373">
      <c r="A373" s="28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</row>
    <row r="374">
      <c r="A374" s="28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</row>
    <row r="375">
      <c r="A375" s="28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</row>
    <row r="376">
      <c r="A376" s="28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</row>
    <row r="377">
      <c r="A377" s="28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</row>
    <row r="378">
      <c r="A378" s="28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</row>
    <row r="379">
      <c r="A379" s="28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</row>
    <row r="380">
      <c r="A380" s="28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</row>
    <row r="381">
      <c r="A381" s="28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</row>
    <row r="382">
      <c r="A382" s="28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</row>
    <row r="383">
      <c r="A383" s="28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</row>
    <row r="384">
      <c r="A384" s="28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</row>
    <row r="385">
      <c r="A385" s="28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</row>
    <row r="386">
      <c r="A386" s="28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</row>
    <row r="387">
      <c r="A387" s="28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</row>
    <row r="388">
      <c r="A388" s="28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</row>
    <row r="389">
      <c r="A389" s="28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</row>
    <row r="390">
      <c r="A390" s="28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</row>
    <row r="391">
      <c r="A391" s="28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</row>
    <row r="392">
      <c r="A392" s="28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</row>
    <row r="393">
      <c r="A393" s="28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</row>
    <row r="394">
      <c r="A394" s="28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</row>
    <row r="395">
      <c r="A395" s="28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</row>
    <row r="396">
      <c r="A396" s="28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</row>
    <row r="397">
      <c r="A397" s="28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</row>
    <row r="398">
      <c r="A398" s="28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</row>
    <row r="399">
      <c r="A399" s="28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</row>
    <row r="400">
      <c r="A400" s="28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</row>
    <row r="401">
      <c r="A401" s="28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</row>
    <row r="402">
      <c r="A402" s="28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</row>
    <row r="403">
      <c r="A403" s="28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</row>
    <row r="404">
      <c r="A404" s="28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</row>
    <row r="405">
      <c r="A405" s="28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</row>
    <row r="406">
      <c r="A406" s="28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</row>
    <row r="407">
      <c r="A407" s="28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</row>
    <row r="408">
      <c r="A408" s="28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</row>
    <row r="409">
      <c r="A409" s="28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</row>
    <row r="410">
      <c r="A410" s="28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</row>
    <row r="411">
      <c r="A411" s="28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</row>
    <row r="412">
      <c r="A412" s="28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</row>
    <row r="413">
      <c r="A413" s="28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</row>
    <row r="414">
      <c r="A414" s="28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</row>
    <row r="415">
      <c r="A415" s="28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</row>
    <row r="416">
      <c r="A416" s="28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</row>
    <row r="417">
      <c r="A417" s="28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</row>
    <row r="418">
      <c r="A418" s="28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</row>
    <row r="419">
      <c r="A419" s="28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</row>
    <row r="420">
      <c r="A420" s="28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</row>
    <row r="421">
      <c r="A421" s="28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</row>
    <row r="422">
      <c r="A422" s="28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</row>
    <row r="423">
      <c r="A423" s="28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</row>
    <row r="424">
      <c r="A424" s="28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</row>
    <row r="425">
      <c r="A425" s="28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</row>
    <row r="426">
      <c r="A426" s="28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</row>
    <row r="427">
      <c r="A427" s="28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</row>
    <row r="428">
      <c r="A428" s="28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</row>
    <row r="429">
      <c r="A429" s="28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</row>
    <row r="430">
      <c r="A430" s="28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</row>
    <row r="431">
      <c r="A431" s="28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</row>
    <row r="432">
      <c r="A432" s="28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</row>
    <row r="433">
      <c r="A433" s="28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</row>
    <row r="434">
      <c r="A434" s="28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</row>
    <row r="435">
      <c r="A435" s="28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</row>
    <row r="436">
      <c r="A436" s="28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</row>
    <row r="437">
      <c r="A437" s="28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</row>
    <row r="438">
      <c r="A438" s="28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</row>
    <row r="439">
      <c r="A439" s="28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</row>
    <row r="440">
      <c r="A440" s="28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</row>
    <row r="441">
      <c r="A441" s="28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</row>
    <row r="442">
      <c r="A442" s="28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</row>
    <row r="443">
      <c r="A443" s="28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</row>
    <row r="444">
      <c r="A444" s="28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</row>
    <row r="445">
      <c r="A445" s="28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</row>
    <row r="446">
      <c r="A446" s="28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</row>
    <row r="447">
      <c r="A447" s="28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</row>
    <row r="448">
      <c r="A448" s="28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</row>
    <row r="449">
      <c r="A449" s="28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</row>
    <row r="450">
      <c r="A450" s="28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</row>
    <row r="451">
      <c r="A451" s="28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</row>
    <row r="452">
      <c r="A452" s="28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</row>
    <row r="453">
      <c r="A453" s="28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</row>
    <row r="454">
      <c r="A454" s="28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</row>
    <row r="455">
      <c r="A455" s="28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</row>
    <row r="456">
      <c r="A456" s="28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</row>
    <row r="457">
      <c r="A457" s="28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</row>
    <row r="458">
      <c r="A458" s="28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</row>
    <row r="459">
      <c r="A459" s="28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</row>
    <row r="460">
      <c r="A460" s="28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</row>
    <row r="461">
      <c r="A461" s="28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</row>
    <row r="462">
      <c r="A462" s="28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</row>
    <row r="463">
      <c r="A463" s="28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</row>
    <row r="464">
      <c r="A464" s="28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</row>
    <row r="465">
      <c r="A465" s="28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</row>
    <row r="466">
      <c r="A466" s="28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</row>
    <row r="467">
      <c r="A467" s="28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</row>
    <row r="468">
      <c r="A468" s="28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</row>
    <row r="469">
      <c r="A469" s="28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</row>
    <row r="470">
      <c r="A470" s="28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</row>
    <row r="471">
      <c r="A471" s="28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</row>
    <row r="472">
      <c r="A472" s="28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</row>
    <row r="473">
      <c r="A473" s="28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</row>
    <row r="474">
      <c r="A474" s="28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</row>
    <row r="475">
      <c r="A475" s="28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</row>
    <row r="476">
      <c r="A476" s="28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</row>
    <row r="477">
      <c r="A477" s="28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</row>
    <row r="478">
      <c r="A478" s="28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</row>
    <row r="479">
      <c r="A479" s="28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</row>
    <row r="480">
      <c r="A480" s="28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</row>
    <row r="481">
      <c r="A481" s="28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</row>
    <row r="482">
      <c r="A482" s="28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</row>
    <row r="483">
      <c r="A483" s="28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</row>
    <row r="484">
      <c r="A484" s="28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</row>
    <row r="485">
      <c r="A485" s="28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</row>
    <row r="486">
      <c r="A486" s="28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</row>
    <row r="487">
      <c r="A487" s="28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</row>
    <row r="488">
      <c r="A488" s="28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</row>
    <row r="489">
      <c r="A489" s="28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</row>
    <row r="490">
      <c r="A490" s="28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</row>
    <row r="491">
      <c r="A491" s="28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</row>
    <row r="492">
      <c r="A492" s="28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</row>
    <row r="493">
      <c r="A493" s="28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</row>
    <row r="494">
      <c r="A494" s="28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</row>
    <row r="495">
      <c r="A495" s="28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</row>
    <row r="496">
      <c r="A496" s="28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</row>
    <row r="497">
      <c r="A497" s="28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</row>
    <row r="498">
      <c r="A498" s="28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</row>
    <row r="499">
      <c r="A499" s="28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</row>
    <row r="500">
      <c r="A500" s="28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</row>
    <row r="501">
      <c r="A501" s="28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</row>
    <row r="502">
      <c r="A502" s="28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</row>
    <row r="503">
      <c r="A503" s="28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</row>
    <row r="504">
      <c r="A504" s="28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</row>
    <row r="505">
      <c r="A505" s="28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</row>
    <row r="506">
      <c r="A506" s="28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</row>
    <row r="507">
      <c r="A507" s="28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</row>
    <row r="508">
      <c r="A508" s="28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</row>
    <row r="509">
      <c r="A509" s="28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</row>
    <row r="510">
      <c r="A510" s="28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</row>
    <row r="511">
      <c r="A511" s="28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</row>
    <row r="512">
      <c r="A512" s="28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</row>
    <row r="513">
      <c r="A513" s="28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</row>
    <row r="514">
      <c r="A514" s="28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</row>
    <row r="515">
      <c r="A515" s="28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</row>
    <row r="516">
      <c r="A516" s="28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</row>
    <row r="517">
      <c r="A517" s="28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</row>
    <row r="518">
      <c r="A518" s="28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</row>
    <row r="519">
      <c r="A519" s="28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</row>
    <row r="520">
      <c r="A520" s="28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</row>
    <row r="521">
      <c r="A521" s="28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</row>
    <row r="522">
      <c r="A522" s="28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</row>
    <row r="523">
      <c r="A523" s="28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</row>
    <row r="524">
      <c r="A524" s="28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</row>
    <row r="525">
      <c r="A525" s="28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</row>
    <row r="526">
      <c r="A526" s="28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</row>
    <row r="527">
      <c r="A527" s="28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</row>
    <row r="528">
      <c r="A528" s="28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</row>
    <row r="529">
      <c r="A529" s="28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</row>
    <row r="530">
      <c r="A530" s="28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</row>
    <row r="531">
      <c r="A531" s="28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</row>
    <row r="532">
      <c r="A532" s="28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</row>
    <row r="533">
      <c r="A533" s="28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</row>
    <row r="534">
      <c r="A534" s="28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</row>
    <row r="535">
      <c r="A535" s="28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</row>
    <row r="536">
      <c r="A536" s="28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</row>
    <row r="537">
      <c r="A537" s="28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</row>
    <row r="538">
      <c r="A538" s="28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</row>
    <row r="539">
      <c r="A539" s="28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</row>
    <row r="540">
      <c r="A540" s="28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</row>
    <row r="541">
      <c r="A541" s="28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</row>
    <row r="542">
      <c r="A542" s="28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</row>
    <row r="543">
      <c r="A543" s="28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</row>
    <row r="544">
      <c r="A544" s="28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</row>
    <row r="545">
      <c r="A545" s="28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</row>
    <row r="546">
      <c r="A546" s="28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</row>
    <row r="547">
      <c r="A547" s="28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</row>
    <row r="548">
      <c r="A548" s="28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</row>
    <row r="549">
      <c r="A549" s="28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</row>
    <row r="550">
      <c r="A550" s="28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</row>
    <row r="551">
      <c r="A551" s="28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</row>
    <row r="552">
      <c r="A552" s="28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</row>
    <row r="553">
      <c r="A553" s="28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</row>
    <row r="554">
      <c r="A554" s="28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</row>
    <row r="555">
      <c r="A555" s="28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</row>
    <row r="556">
      <c r="A556" s="28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</row>
    <row r="557">
      <c r="A557" s="28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</row>
    <row r="558">
      <c r="A558" s="28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</row>
    <row r="559">
      <c r="A559" s="28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</row>
    <row r="560">
      <c r="A560" s="28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</row>
    <row r="561">
      <c r="A561" s="28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</row>
    <row r="562">
      <c r="A562" s="28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</row>
    <row r="563">
      <c r="A563" s="28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</row>
    <row r="564">
      <c r="A564" s="28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</row>
    <row r="565">
      <c r="A565" s="28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</row>
    <row r="566">
      <c r="A566" s="28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</row>
    <row r="567">
      <c r="A567" s="28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</row>
    <row r="568">
      <c r="A568" s="28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</row>
    <row r="569">
      <c r="A569" s="28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</row>
    <row r="570">
      <c r="A570" s="28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</row>
    <row r="571">
      <c r="A571" s="28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</row>
    <row r="572">
      <c r="A572" s="28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</row>
    <row r="573">
      <c r="A573" s="28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</row>
    <row r="574">
      <c r="A574" s="28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</row>
    <row r="575">
      <c r="A575" s="28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</row>
    <row r="576">
      <c r="A576" s="28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</row>
    <row r="577">
      <c r="A577" s="28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</row>
    <row r="578">
      <c r="A578" s="28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</row>
    <row r="579">
      <c r="A579" s="28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</row>
    <row r="580">
      <c r="A580" s="28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</row>
    <row r="581">
      <c r="A581" s="28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</row>
    <row r="582">
      <c r="A582" s="28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</row>
    <row r="583">
      <c r="A583" s="28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</row>
    <row r="584">
      <c r="A584" s="28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</row>
    <row r="585">
      <c r="A585" s="28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</row>
    <row r="586">
      <c r="A586" s="28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</row>
    <row r="587">
      <c r="A587" s="28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</row>
    <row r="588">
      <c r="A588" s="28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</row>
    <row r="589">
      <c r="A589" s="28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</row>
    <row r="590">
      <c r="A590" s="28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</row>
    <row r="591">
      <c r="A591" s="28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</row>
    <row r="592">
      <c r="A592" s="28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</row>
    <row r="593">
      <c r="A593" s="28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</row>
    <row r="594">
      <c r="A594" s="28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</row>
    <row r="595">
      <c r="A595" s="28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</row>
    <row r="596">
      <c r="A596" s="28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</row>
    <row r="597">
      <c r="A597" s="28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</row>
    <row r="598">
      <c r="A598" s="28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</row>
    <row r="599">
      <c r="A599" s="28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</row>
    <row r="600">
      <c r="A600" s="28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</row>
    <row r="601">
      <c r="A601" s="28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</row>
    <row r="602">
      <c r="A602" s="28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</row>
    <row r="603">
      <c r="A603" s="28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</row>
    <row r="604">
      <c r="A604" s="28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</row>
    <row r="605">
      <c r="A605" s="28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</row>
    <row r="606">
      <c r="A606" s="28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</row>
    <row r="607">
      <c r="A607" s="28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</row>
    <row r="608">
      <c r="A608" s="28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</row>
    <row r="609">
      <c r="A609" s="28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</row>
    <row r="610">
      <c r="A610" s="28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</row>
    <row r="611">
      <c r="A611" s="28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</row>
    <row r="612">
      <c r="A612" s="28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</row>
    <row r="613">
      <c r="A613" s="28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</row>
    <row r="614">
      <c r="A614" s="28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</row>
    <row r="615">
      <c r="A615" s="28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</row>
    <row r="616">
      <c r="A616" s="28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</row>
    <row r="617">
      <c r="A617" s="28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</row>
    <row r="618">
      <c r="A618" s="28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</row>
    <row r="619">
      <c r="A619" s="28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</row>
    <row r="620">
      <c r="A620" s="28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</row>
    <row r="621">
      <c r="A621" s="28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</row>
    <row r="622">
      <c r="A622" s="28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</row>
    <row r="623">
      <c r="A623" s="28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</row>
    <row r="624">
      <c r="A624" s="28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</row>
    <row r="625">
      <c r="A625" s="28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</row>
    <row r="626">
      <c r="A626" s="28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</row>
    <row r="627">
      <c r="A627" s="28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</row>
    <row r="628">
      <c r="A628" s="28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</row>
    <row r="629">
      <c r="A629" s="28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</row>
    <row r="630">
      <c r="A630" s="28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</row>
    <row r="631">
      <c r="A631" s="28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</row>
    <row r="632">
      <c r="A632" s="28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</row>
    <row r="633">
      <c r="A633" s="28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</row>
    <row r="634">
      <c r="A634" s="28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</row>
    <row r="635">
      <c r="A635" s="28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</row>
    <row r="636">
      <c r="A636" s="28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</row>
    <row r="637">
      <c r="A637" s="28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</row>
    <row r="638">
      <c r="A638" s="28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</row>
    <row r="639">
      <c r="A639" s="28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</row>
    <row r="640">
      <c r="A640" s="28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</row>
    <row r="641">
      <c r="A641" s="28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</row>
    <row r="642">
      <c r="A642" s="28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</row>
    <row r="643">
      <c r="A643" s="28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</row>
    <row r="644">
      <c r="A644" s="28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</row>
    <row r="645">
      <c r="A645" s="28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</row>
    <row r="646">
      <c r="A646" s="28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</row>
    <row r="647">
      <c r="A647" s="28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</row>
    <row r="648">
      <c r="A648" s="28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</row>
    <row r="649">
      <c r="A649" s="28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</row>
    <row r="650">
      <c r="A650" s="28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</row>
    <row r="651">
      <c r="A651" s="28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</row>
    <row r="652">
      <c r="A652" s="28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</row>
    <row r="653">
      <c r="A653" s="28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</row>
    <row r="654">
      <c r="A654" s="28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</row>
    <row r="655">
      <c r="A655" s="28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</row>
    <row r="656">
      <c r="A656" s="28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</row>
    <row r="657">
      <c r="A657" s="28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</row>
    <row r="658">
      <c r="A658" s="28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</row>
    <row r="659">
      <c r="A659" s="28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</row>
    <row r="660">
      <c r="A660" s="28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</row>
    <row r="661">
      <c r="A661" s="28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</row>
    <row r="662">
      <c r="A662" s="28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</row>
    <row r="663">
      <c r="A663" s="28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</row>
    <row r="664">
      <c r="A664" s="28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</row>
    <row r="665">
      <c r="A665" s="28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</row>
    <row r="666">
      <c r="A666" s="28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</row>
    <row r="667">
      <c r="A667" s="28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</row>
    <row r="668">
      <c r="A668" s="28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</row>
    <row r="669">
      <c r="A669" s="28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</row>
    <row r="670">
      <c r="A670" s="28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</row>
    <row r="671">
      <c r="A671" s="28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</row>
    <row r="672">
      <c r="A672" s="28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</row>
    <row r="673">
      <c r="A673" s="28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</row>
    <row r="674">
      <c r="A674" s="28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</row>
    <row r="675">
      <c r="A675" s="28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</row>
    <row r="676">
      <c r="A676" s="28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</row>
    <row r="677">
      <c r="A677" s="28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</row>
    <row r="678">
      <c r="A678" s="28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</row>
    <row r="679">
      <c r="A679" s="28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</row>
    <row r="680">
      <c r="A680" s="28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</row>
    <row r="681">
      <c r="A681" s="28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</row>
    <row r="682">
      <c r="A682" s="28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</row>
    <row r="683">
      <c r="A683" s="28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</row>
    <row r="684">
      <c r="A684" s="28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</row>
    <row r="685">
      <c r="A685" s="28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</row>
    <row r="686">
      <c r="A686" s="28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</row>
    <row r="687">
      <c r="A687" s="28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</row>
    <row r="688">
      <c r="A688" s="28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</row>
    <row r="689">
      <c r="A689" s="28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</row>
    <row r="690">
      <c r="A690" s="28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</row>
    <row r="691">
      <c r="A691" s="28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</row>
    <row r="692">
      <c r="A692" s="28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</row>
    <row r="693">
      <c r="A693" s="28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</row>
    <row r="694">
      <c r="A694" s="28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</row>
    <row r="695">
      <c r="A695" s="28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</row>
    <row r="696">
      <c r="A696" s="28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</row>
    <row r="697">
      <c r="A697" s="28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</row>
    <row r="698">
      <c r="A698" s="28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</row>
    <row r="699">
      <c r="A699" s="28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</row>
    <row r="700">
      <c r="A700" s="28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</row>
    <row r="701">
      <c r="A701" s="28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</row>
    <row r="702">
      <c r="A702" s="28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</row>
    <row r="703">
      <c r="A703" s="28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</row>
    <row r="704">
      <c r="A704" s="28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</row>
    <row r="705">
      <c r="A705" s="28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</row>
    <row r="706">
      <c r="A706" s="28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</row>
    <row r="707">
      <c r="A707" s="28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</row>
    <row r="708">
      <c r="A708" s="28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</row>
    <row r="709">
      <c r="A709" s="28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</row>
    <row r="710">
      <c r="A710" s="28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</row>
    <row r="711">
      <c r="A711" s="28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</row>
    <row r="712">
      <c r="A712" s="28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</row>
    <row r="713">
      <c r="A713" s="28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</row>
    <row r="714">
      <c r="A714" s="28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</row>
    <row r="715">
      <c r="A715" s="28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</row>
    <row r="716">
      <c r="A716" s="28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</row>
    <row r="717">
      <c r="A717" s="28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</row>
    <row r="718">
      <c r="A718" s="28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</row>
    <row r="719">
      <c r="A719" s="28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</row>
    <row r="720">
      <c r="A720" s="28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</row>
    <row r="721">
      <c r="A721" s="28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</row>
    <row r="722">
      <c r="A722" s="28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</row>
    <row r="723">
      <c r="A723" s="28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</row>
    <row r="724">
      <c r="A724" s="28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</row>
    <row r="725">
      <c r="A725" s="28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</row>
    <row r="726">
      <c r="A726" s="28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</row>
    <row r="727">
      <c r="A727" s="28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</row>
    <row r="728">
      <c r="A728" s="28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</row>
    <row r="729">
      <c r="A729" s="28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</row>
    <row r="730">
      <c r="A730" s="28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</row>
    <row r="731">
      <c r="A731" s="28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</row>
    <row r="732">
      <c r="A732" s="28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</row>
    <row r="733">
      <c r="A733" s="28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</row>
    <row r="734">
      <c r="A734" s="28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</row>
    <row r="735">
      <c r="A735" s="28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</row>
    <row r="736">
      <c r="A736" s="28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</row>
    <row r="737">
      <c r="A737" s="28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</row>
    <row r="738">
      <c r="A738" s="28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</row>
    <row r="739">
      <c r="A739" s="28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</row>
    <row r="740">
      <c r="A740" s="28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</row>
    <row r="741">
      <c r="A741" s="28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</row>
    <row r="742">
      <c r="A742" s="28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</row>
    <row r="743">
      <c r="A743" s="28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</row>
    <row r="744">
      <c r="A744" s="28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</row>
    <row r="745">
      <c r="A745" s="28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</row>
    <row r="746">
      <c r="A746" s="28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</row>
    <row r="747">
      <c r="A747" s="28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</row>
    <row r="748">
      <c r="A748" s="28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</row>
    <row r="749">
      <c r="A749" s="28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</row>
    <row r="750">
      <c r="A750" s="28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</row>
    <row r="751">
      <c r="A751" s="28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</row>
    <row r="752">
      <c r="A752" s="28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</row>
  </sheetData>
  <mergeCells count="6">
    <mergeCell ref="C21:K21"/>
    <mergeCell ref="C24:K24"/>
    <mergeCell ref="A4:K4"/>
    <mergeCell ref="B26:K26"/>
    <mergeCell ref="G2:K3"/>
    <mergeCell ref="A1:K1"/>
  </mergeCells>
  <pageMargins left="0.7" right="0.7" top="0.75" bottom="0.75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1D6A39"/>
    <outlinePr summaryBelow="1" summaryRight="1"/>
    <pageSetUpPr/>
  </sheetPr>
  <dimension ref="A1:H58"/>
  <sheetViews>
    <sheetView tabSelected="1" zoomScale="130" zoomScaleNormal="130" workbookViewId="0">
      <pane ySplit="9" topLeftCell="A29" activePane="bottomLeft" state="frozen"/>
      <selection pane="bottomLeft" activeCell="C4" sqref="C4"/>
    </sheetView>
  </sheetViews>
  <sheetFormatPr baseColWidth="10" defaultColWidth="3" defaultRowHeight="14.4"/>
  <cols>
    <col width="3" customWidth="1" style="1" min="1" max="1"/>
    <col width="15.77734375" customWidth="1" style="1" min="2" max="2"/>
    <col width="45" customWidth="1" style="1" min="3" max="3"/>
    <col width="17.88671875" customWidth="1" style="1" min="4" max="4"/>
    <col width="18.33203125" customWidth="1" style="1" min="5" max="5"/>
    <col width="11.33203125" customWidth="1" style="1" min="6" max="6"/>
    <col width="24.44140625" customWidth="1" style="1" min="7" max="7"/>
    <col width="11.6640625" customWidth="1" style="1" min="8" max="8"/>
    <col width="3" customWidth="1" style="1" min="9" max="16384"/>
  </cols>
  <sheetData>
    <row r="1">
      <c r="A1" s="6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 ht="1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16.5" customHeight="1">
      <c r="A7" s="63" t="inlineStr">
        <is>
          <t>PLANIFICACIÓN Y EJECUCIÓN DE CASOS DE PRUEBA</t>
        </is>
      </c>
      <c r="B7" s="107" t="n"/>
      <c r="C7" s="107" t="n"/>
      <c r="D7" s="107" t="n"/>
      <c r="E7" s="107" t="n"/>
      <c r="F7" s="107" t="n"/>
      <c r="G7" s="107" t="n"/>
      <c r="H7" s="108" t="n"/>
    </row>
    <row r="8" ht="15" customHeight="1">
      <c r="A8" s="64" t="inlineStr">
        <is>
          <t>Proyecto: Por definir  |  QA Lead: Jaime Quiñelen  |  Fecha: Abril 2026  |  Versión: v1.0</t>
        </is>
      </c>
      <c r="B8" s="109" t="n"/>
      <c r="C8" s="109" t="n"/>
      <c r="D8" s="109" t="n"/>
      <c r="E8" s="109" t="n"/>
      <c r="F8" s="109" t="n"/>
      <c r="G8" s="109" t="n"/>
      <c r="H8" s="110" t="n"/>
    </row>
    <row r="10" ht="15" customHeight="1"/>
    <row r="11" ht="22.5" customHeight="1">
      <c r="A11" s="65" t="inlineStr">
        <is>
          <t>✔   V°B USUARIO  —  APROBACIÓN FUNCIONAL</t>
        </is>
      </c>
      <c r="B11" s="107" t="n"/>
      <c r="C11" s="107" t="n"/>
      <c r="D11" s="107" t="n"/>
      <c r="E11" s="107" t="n"/>
      <c r="F11" s="107" t="n"/>
      <c r="G11" s="107" t="n"/>
      <c r="H11" s="108" t="n"/>
    </row>
    <row r="12" ht="15" customHeight="1">
      <c r="A12" s="111" t="n"/>
      <c r="B12" s="109" t="n"/>
      <c r="C12" s="109" t="n"/>
      <c r="D12" s="109" t="n"/>
      <c r="E12" s="109" t="n"/>
      <c r="F12" s="109" t="n"/>
      <c r="G12" s="109" t="n"/>
      <c r="H12" s="110" t="n"/>
    </row>
    <row r="13" ht="14.25" customHeight="1">
      <c r="A13" s="66" t="inlineStr">
        <is>
          <t>El/La abajo firmante declara haber revisado, ejecutado y aprobado los casos de prueba del presente documento.</t>
        </is>
      </c>
      <c r="B13" s="112" t="n"/>
      <c r="C13" s="112" t="n"/>
      <c r="D13" s="112" t="n"/>
      <c r="E13" s="112" t="n"/>
      <c r="F13" s="112" t="n"/>
      <c r="G13" s="112" t="n"/>
      <c r="H13" s="113" t="n"/>
    </row>
    <row r="14" ht="15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5" customHeight="1">
      <c r="A15" s="72" t="inlineStr">
        <is>
          <t>▌  DATOS DEL PROYECTO</t>
        </is>
      </c>
      <c r="B15" s="114" t="n"/>
      <c r="C15" s="114" t="n"/>
      <c r="D15" s="114" t="n"/>
      <c r="E15" s="114" t="n"/>
      <c r="F15" s="114" t="n"/>
      <c r="G15" s="114" t="n"/>
      <c r="H15" s="115" t="n"/>
    </row>
    <row r="16">
      <c r="A16" s="4" t="n"/>
      <c r="B16" s="38" t="inlineStr">
        <is>
          <t>Proyecto</t>
        </is>
      </c>
      <c r="C16" s="39">
        <f>'Plan de Pruebas'!G2</f>
        <v/>
      </c>
      <c r="D16" s="4" t="n"/>
      <c r="E16" s="38" t="inlineStr">
        <is>
          <t>Requerimiento</t>
        </is>
      </c>
      <c r="F16" s="39" t="n"/>
      <c r="G16" s="4" t="n"/>
      <c r="H16" s="4" t="n"/>
    </row>
    <row r="17">
      <c r="A17" s="4" t="n"/>
      <c r="B17" s="40" t="inlineStr">
        <is>
          <t>Responsable QA</t>
        </is>
      </c>
      <c r="C17" s="41" t="n"/>
      <c r="D17" s="4" t="n"/>
      <c r="E17" s="40" t="inlineStr">
        <is>
          <t>Responsable Usuario</t>
        </is>
      </c>
      <c r="F17" s="41" t="n"/>
      <c r="G17" s="4" t="n"/>
      <c r="H17" s="4" t="n"/>
    </row>
    <row r="18">
      <c r="A18" s="4" t="n"/>
      <c r="B18" s="40" t="inlineStr">
        <is>
          <t>Fecha Inicio</t>
        </is>
      </c>
      <c r="C18" s="116" t="n"/>
      <c r="D18" s="4" t="n"/>
      <c r="E18" s="40" t="inlineStr">
        <is>
          <t>Fecha Fin</t>
        </is>
      </c>
      <c r="F18" s="43" t="n">
        <v>15</v>
      </c>
      <c r="G18" s="4" t="n"/>
      <c r="H18" s="4" t="n"/>
    </row>
    <row r="19">
      <c r="A19" s="4" t="n"/>
      <c r="B19" s="40" t="inlineStr">
        <is>
          <t>Total Casos</t>
        </is>
      </c>
      <c r="C19" s="56">
        <f>'Plan de Pruebas'!B24</f>
        <v/>
      </c>
      <c r="D19" s="4" t="n"/>
      <c r="E19" s="40" t="inlineStr">
        <is>
          <t>Total Horas</t>
        </is>
      </c>
      <c r="F19" s="41" t="n"/>
      <c r="G19" s="4" t="n"/>
      <c r="H19" s="4" t="n"/>
    </row>
    <row r="20">
      <c r="A20" s="4" t="n"/>
      <c r="B20" s="40" t="inlineStr">
        <is>
          <t>Casos Exitosos</t>
        </is>
      </c>
      <c r="C20" s="45">
        <f>COUNTIF('Plan de Pruebas'!I6:I19,"Exitoso")</f>
        <v/>
      </c>
      <c r="D20" s="4" t="n"/>
      <c r="E20" s="40" t="inlineStr">
        <is>
          <t>Casos Fallidos</t>
        </is>
      </c>
      <c r="F20" s="45">
        <f>COUNTIF('Plan de Pruebas'!I6:I19,"Fallido")</f>
        <v/>
      </c>
      <c r="G20" s="4" t="n"/>
      <c r="H20" s="4" t="n"/>
    </row>
    <row r="21">
      <c r="A21" s="4" t="n"/>
      <c r="B21" s="40" t="inlineStr">
        <is>
          <t>Ok Técnico</t>
        </is>
      </c>
      <c r="C21" s="56">
        <f>COUNTIF('Plan de Pruebas'!I6:I19,"Ok Técnico")</f>
        <v/>
      </c>
      <c r="D21" s="4" t="n"/>
      <c r="E21" s="40" t="inlineStr">
        <is>
          <t>No Aplica</t>
        </is>
      </c>
      <c r="F21" s="56">
        <f>COUNTIF('Plan de Pruebas'!I6:I19,"No Aplica")</f>
        <v/>
      </c>
      <c r="G21" s="4" t="n"/>
      <c r="H21" s="4" t="n"/>
    </row>
    <row r="22" ht="15" customHeight="1" thickBo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" customHeight="1">
      <c r="A23" s="72" t="inlineStr">
        <is>
          <t>▌  FIRMA Y CONFORMIDAD DEL USUARIO</t>
        </is>
      </c>
      <c r="B23" s="114" t="n"/>
      <c r="C23" s="114" t="n"/>
      <c r="D23" s="114" t="n"/>
      <c r="E23" s="114" t="n"/>
      <c r="F23" s="114" t="n"/>
      <c r="G23" s="114" t="n"/>
      <c r="H23" s="11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B25" s="44" t="inlineStr">
        <is>
          <t>Nombre Completo</t>
        </is>
      </c>
      <c r="C25" s="44" t="inlineStr">
        <is>
          <t>Cargo / Área</t>
        </is>
      </c>
      <c r="D25" s="44" t="inlineStr">
        <is>
          <t>Fecha de Aprobación</t>
        </is>
      </c>
      <c r="E25" s="44" t="inlineStr">
        <is>
          <t>RUT</t>
        </is>
      </c>
    </row>
    <row r="26">
      <c r="B26" s="45">
        <f>'Plan de Pruebas'!G6</f>
        <v/>
      </c>
      <c r="C26" s="45" t="inlineStr">
        <is>
          <t>Responsable Funcional</t>
        </is>
      </c>
      <c r="D26" s="45" t="n"/>
      <c r="E26" s="45" t="n"/>
    </row>
    <row r="27" ht="15" customHeight="1" thickBo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" customHeight="1" thickBot="1">
      <c r="A28" s="117" t="inlineStr">
        <is>
          <t>▌  ADJUNTAR EVIDENCIA / FIRMA DIGITAL</t>
        </is>
      </c>
      <c r="B28" s="118" t="n"/>
      <c r="C28" s="118" t="n"/>
      <c r="D28" s="118" t="n"/>
      <c r="E28" s="118" t="n"/>
      <c r="F28" s="118" t="n"/>
      <c r="G28" s="118" t="n"/>
      <c r="H28" s="119" t="n"/>
    </row>
    <row r="29" ht="15" customHeight="1" thickBot="1">
      <c r="B29" s="76" t="inlineStr">
        <is>
          <t>ZONA PARA INSERTAR IMAGEN / FIRMA DIGITAL</t>
        </is>
      </c>
      <c r="C29" s="120" t="n"/>
      <c r="D29" s="120" t="n"/>
      <c r="E29" s="120" t="n"/>
      <c r="F29" s="120" t="n"/>
      <c r="G29" s="121" t="n"/>
    </row>
    <row r="30" ht="15" customHeight="1" thickBot="1">
      <c r="B30" s="76" t="n"/>
      <c r="C30" s="76" t="n"/>
      <c r="D30" s="76" t="n"/>
      <c r="E30" s="76" t="n"/>
      <c r="F30" s="76" t="n"/>
      <c r="G30" s="76" t="n"/>
    </row>
    <row r="31" ht="15" customHeight="1" thickBot="1">
      <c r="B31" s="76" t="n"/>
      <c r="C31" s="76" t="n"/>
      <c r="D31" s="76" t="n"/>
      <c r="E31" s="76" t="n"/>
      <c r="F31" s="76" t="n"/>
      <c r="G31" s="76" t="n"/>
    </row>
    <row r="32" ht="15" customHeight="1" thickBot="1">
      <c r="B32" s="76" t="n"/>
      <c r="C32" s="76" t="n"/>
      <c r="D32" s="76" t="n"/>
      <c r="E32" s="76" t="n"/>
      <c r="F32" s="76" t="n"/>
      <c r="G32" s="76" t="n"/>
    </row>
    <row r="33" ht="15" customHeight="1" thickBot="1">
      <c r="B33" s="76" t="n"/>
      <c r="C33" s="76" t="n"/>
      <c r="D33" s="76" t="n"/>
      <c r="E33" s="76" t="n"/>
      <c r="F33" s="76" t="n"/>
      <c r="G33" s="76" t="n"/>
    </row>
    <row r="34" ht="15" customHeight="1" thickBot="1">
      <c r="B34" s="76" t="n"/>
      <c r="C34" s="76" t="n"/>
      <c r="D34" s="76" t="n"/>
      <c r="E34" s="76" t="n"/>
      <c r="F34" s="76" t="n"/>
      <c r="G34" s="76" t="n"/>
    </row>
    <row r="35" ht="15" customHeight="1" thickBot="1">
      <c r="B35" s="76" t="n"/>
      <c r="C35" s="76" t="n"/>
      <c r="D35" s="76" t="n"/>
      <c r="E35" s="76" t="n"/>
      <c r="F35" s="76" t="n"/>
      <c r="G35" s="76" t="n"/>
    </row>
    <row r="36" ht="15" customHeight="1" thickBot="1">
      <c r="B36" s="76" t="n"/>
      <c r="C36" s="76" t="n"/>
      <c r="D36" s="76" t="n"/>
      <c r="E36" s="76" t="n"/>
      <c r="F36" s="76" t="n"/>
      <c r="G36" s="76" t="n"/>
    </row>
    <row r="37" ht="15" customHeight="1" thickBot="1">
      <c r="B37" s="76" t="n"/>
      <c r="C37" s="76" t="n"/>
      <c r="D37" s="76" t="n"/>
      <c r="E37" s="76" t="n"/>
      <c r="F37" s="76" t="n"/>
      <c r="G37" s="76" t="n"/>
    </row>
    <row r="38" ht="15" customHeight="1" thickBot="1">
      <c r="B38" s="76" t="n"/>
      <c r="C38" s="76" t="n"/>
      <c r="D38" s="76" t="n"/>
      <c r="E38" s="76" t="n"/>
      <c r="F38" s="76" t="n"/>
      <c r="G38" s="76" t="n"/>
    </row>
    <row r="39" ht="15" customHeight="1" thickBot="1">
      <c r="B39" s="76" t="n"/>
      <c r="C39" s="76" t="n"/>
      <c r="D39" s="76" t="n"/>
      <c r="E39" s="76" t="n"/>
      <c r="F39" s="76" t="n"/>
      <c r="G39" s="76" t="n"/>
    </row>
    <row r="40" ht="15" customHeight="1" thickBot="1">
      <c r="B40" s="76" t="n"/>
      <c r="C40" s="76" t="n"/>
      <c r="D40" s="76" t="n"/>
      <c r="E40" s="76" t="n"/>
      <c r="F40" s="76" t="n"/>
      <c r="G40" s="76" t="n"/>
    </row>
    <row r="41" ht="15" customHeight="1" thickBot="1">
      <c r="B41" s="76" t="n"/>
      <c r="C41" s="76" t="n"/>
      <c r="D41" s="76" t="n"/>
      <c r="E41" s="76" t="n"/>
      <c r="F41" s="76" t="n"/>
      <c r="G41" s="76" t="n"/>
    </row>
    <row r="42" ht="15" customHeight="1" thickBot="1">
      <c r="B42" s="47" t="n"/>
      <c r="C42" s="47" t="n"/>
      <c r="D42" s="47" t="n"/>
      <c r="E42" s="47" t="n"/>
      <c r="F42" s="47" t="n"/>
      <c r="G42" s="47" t="n"/>
    </row>
    <row r="43">
      <c r="B43" s="48" t="n"/>
      <c r="C43" s="48" t="n"/>
      <c r="D43" s="48" t="n"/>
      <c r="E43" s="48" t="n"/>
      <c r="F43" s="48" t="n"/>
      <c r="G43" s="48" t="n"/>
    </row>
    <row r="44">
      <c r="B44" s="47" t="n"/>
      <c r="C44" s="47" t="n"/>
      <c r="D44" s="47" t="n"/>
      <c r="E44" s="47" t="n"/>
      <c r="F44" s="47" t="n"/>
      <c r="G44" s="47" t="n"/>
    </row>
    <row r="45">
      <c r="B45" s="48" t="n"/>
      <c r="C45" s="48" t="n"/>
      <c r="D45" s="48" t="n"/>
      <c r="E45" s="48" t="n"/>
      <c r="F45" s="48" t="n"/>
      <c r="G45" s="48" t="n"/>
    </row>
    <row r="46">
      <c r="B46" s="47" t="n"/>
      <c r="C46" s="47" t="n"/>
      <c r="D46" s="47" t="n"/>
      <c r="E46" s="47" t="n"/>
      <c r="F46" s="47" t="n"/>
      <c r="G46" s="47" t="n"/>
    </row>
    <row r="47">
      <c r="B47" s="48" t="n"/>
      <c r="C47" s="48" t="n"/>
      <c r="D47" s="48" t="n"/>
      <c r="E47" s="48" t="n"/>
      <c r="F47" s="48" t="n"/>
      <c r="G47" s="48" t="n"/>
    </row>
    <row r="48" ht="15" customHeight="1" thickBot="1">
      <c r="B48" s="47" t="n"/>
      <c r="C48" s="47" t="n"/>
      <c r="D48" s="47" t="n"/>
      <c r="E48" s="47" t="n"/>
      <c r="F48" s="47" t="n"/>
      <c r="G48" s="47" t="n"/>
    </row>
    <row r="49" ht="15" customHeight="1" thickBot="1">
      <c r="B49" s="47" t="n"/>
      <c r="C49" s="47" t="n"/>
      <c r="D49" s="47" t="n"/>
      <c r="E49" s="47" t="n"/>
      <c r="F49" s="47" t="n"/>
      <c r="G49" s="47" t="n"/>
    </row>
    <row r="50">
      <c r="B50" s="48" t="n"/>
      <c r="C50" s="48" t="n"/>
      <c r="D50" s="48" t="n"/>
      <c r="E50" s="48" t="n"/>
      <c r="F50" s="48" t="n"/>
      <c r="G50" s="48" t="n"/>
    </row>
    <row r="51">
      <c r="B51" s="47" t="n"/>
      <c r="C51" s="47" t="n"/>
      <c r="D51" s="47" t="n"/>
      <c r="E51" s="47" t="n"/>
      <c r="F51" s="47" t="n"/>
      <c r="G51" s="47" t="n"/>
    </row>
    <row r="52">
      <c r="B52" s="48" t="n"/>
      <c r="C52" s="48" t="n"/>
      <c r="D52" s="48" t="n"/>
      <c r="E52" s="48" t="n"/>
      <c r="F52" s="48" t="n"/>
      <c r="G52" s="48" t="n"/>
    </row>
    <row r="53">
      <c r="B53" s="47" t="n"/>
      <c r="C53" s="47" t="n"/>
      <c r="D53" s="47" t="n"/>
      <c r="E53" s="47" t="n"/>
      <c r="F53" s="47" t="n"/>
      <c r="G53" s="47" t="n"/>
    </row>
    <row r="54">
      <c r="B54" s="67" t="inlineStr">
        <is>
          <t>Tipo aceptado: JPG · PNG · PDF  |  Resolución mínima: 150 DPI</t>
        </is>
      </c>
      <c r="C54" s="122" t="n"/>
      <c r="D54" s="122" t="n"/>
      <c r="E54" s="122" t="n"/>
      <c r="F54" s="122" t="n"/>
      <c r="G54" s="123" t="n"/>
    </row>
    <row r="55" ht="15" customHeight="1" thickBo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7.25" customHeight="1" thickBot="1">
      <c r="A56" s="124" t="inlineStr">
        <is>
          <t>✔  ESTADO: APROBADO POR USUARIO</t>
        </is>
      </c>
      <c r="B56" s="118" t="n"/>
      <c r="C56" s="118" t="n"/>
      <c r="D56" s="118" t="n"/>
      <c r="E56" s="118" t="n"/>
      <c r="F56" s="118" t="n"/>
      <c r="G56" s="118" t="n"/>
      <c r="H56" s="119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71" t="inlineStr">
        <is>
          <t xml:space="preserve"> Documento Confidencial — Solo Uso Interno  |  Generado: Abril 2026</t>
        </is>
      </c>
    </row>
  </sheetData>
  <mergeCells count="12">
    <mergeCell ref="A56:H56"/>
    <mergeCell ref="B54:G54"/>
    <mergeCell ref="A15:H15"/>
    <mergeCell ref="A7:H7"/>
    <mergeCell ref="A28:H28"/>
    <mergeCell ref="A13:H13"/>
    <mergeCell ref="A1:H1"/>
    <mergeCell ref="A23:H23"/>
    <mergeCell ref="A11:H12"/>
    <mergeCell ref="A8:H8"/>
    <mergeCell ref="B29:G29"/>
    <mergeCell ref="A58:H58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53"/>
  <sheetViews>
    <sheetView zoomScale="130" zoomScaleNormal="130" workbookViewId="0">
      <pane ySplit="9" topLeftCell="A10" activePane="bottomLeft" state="frozen"/>
      <selection pane="bottomLeft" activeCell="K5" sqref="K5"/>
    </sheetView>
  </sheetViews>
  <sheetFormatPr baseColWidth="10" defaultColWidth="3" defaultRowHeight="14.4"/>
  <cols>
    <col width="3" customWidth="1" style="1" min="1" max="1"/>
    <col width="15.77734375" customWidth="1" style="1" min="2" max="2"/>
    <col width="43.5546875" customWidth="1" style="1" min="3" max="3"/>
    <col width="16.88671875" customWidth="1" style="1" min="4" max="4"/>
    <col width="13.44140625" customWidth="1" style="1" min="5" max="5"/>
    <col width="12.88671875" customWidth="1" style="1" min="6" max="6"/>
    <col width="3" customWidth="1" style="1" min="7" max="16384"/>
  </cols>
  <sheetData>
    <row r="1">
      <c r="A1" s="77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 ht="15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16.5" customHeight="1">
      <c r="A7" s="78" t="inlineStr">
        <is>
          <t>PLANIFICACIÓN Y EJECUCIÓN DE CASOS DE PRUEBA</t>
        </is>
      </c>
      <c r="B7" s="107" t="n"/>
      <c r="C7" s="107" t="n"/>
      <c r="D7" s="107" t="n"/>
      <c r="E7" s="107" t="n"/>
      <c r="F7" s="107" t="n"/>
      <c r="G7" s="107" t="n"/>
      <c r="H7" s="108" t="n"/>
    </row>
    <row r="8" ht="15" customHeight="1">
      <c r="A8" s="79" t="inlineStr">
        <is>
          <t>Proyecto: Por definir  |  QA Lead: Jaime Quiñelen  |  Fecha: Abril 2026  |  Versión: v1.0</t>
        </is>
      </c>
      <c r="B8" s="109" t="n"/>
      <c r="C8" s="109" t="n"/>
      <c r="D8" s="109" t="n"/>
      <c r="E8" s="109" t="n"/>
      <c r="F8" s="109" t="n"/>
      <c r="G8" s="109" t="n"/>
      <c r="H8" s="110" t="n"/>
    </row>
    <row r="10" ht="15" customHeight="1" thickBot="1"/>
    <row r="11" ht="22.5" customHeight="1" thickBot="1">
      <c r="A11" s="80" t="inlineStr">
        <is>
          <t>⚙   OK TÉCNICO  —  VALIDACIÓN Y APROBACIÓN TI</t>
        </is>
      </c>
      <c r="B11" s="114" t="n"/>
      <c r="C11" s="114" t="n"/>
      <c r="D11" s="114" t="n"/>
      <c r="E11" s="114" t="n"/>
      <c r="F11" s="114" t="n"/>
      <c r="G11" s="114" t="n"/>
      <c r="H11" s="115" t="n"/>
    </row>
    <row r="12">
      <c r="A12" s="125" t="inlineStr">
        <is>
          <t>El/La abajo firmante certifica que las funcionalidades técnicas han sido validadas y cumplen los criterios de aceptación.</t>
        </is>
      </c>
      <c r="B12" s="107" t="n"/>
      <c r="C12" s="107" t="n"/>
      <c r="D12" s="107" t="n"/>
      <c r="E12" s="107" t="n"/>
      <c r="F12" s="107" t="n"/>
      <c r="G12" s="107" t="n"/>
      <c r="H12" s="108" t="n"/>
    </row>
    <row r="13" ht="15" customHeight="1" thickBot="1">
      <c r="A13" s="111" t="n"/>
      <c r="B13" s="109" t="n"/>
      <c r="C13" s="109" t="n"/>
      <c r="D13" s="109" t="n"/>
      <c r="E13" s="109" t="n"/>
      <c r="F13" s="109" t="n"/>
      <c r="G13" s="109" t="n"/>
      <c r="H13" s="110" t="n"/>
    </row>
    <row r="14" ht="15" customHeight="1" thickBo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5" customHeight="1">
      <c r="A15" s="89" t="inlineStr">
        <is>
          <t>▌  DATOS DEL PROYECTO</t>
        </is>
      </c>
      <c r="B15" s="114" t="n"/>
      <c r="C15" s="114" t="n"/>
      <c r="D15" s="114" t="n"/>
      <c r="E15" s="114" t="n"/>
      <c r="F15" s="114" t="n"/>
      <c r="G15" s="114" t="n"/>
      <c r="H15" s="115" t="n"/>
    </row>
    <row r="16">
      <c r="A16" s="4" t="n"/>
      <c r="B16" s="49" t="inlineStr">
        <is>
          <t>Proyecto</t>
        </is>
      </c>
      <c r="C16" s="50">
        <f>'Plan de Pruebas'!G2</f>
        <v/>
      </c>
      <c r="D16" s="4" t="n"/>
      <c r="E16" s="49" t="inlineStr">
        <is>
          <t>Requerimiento</t>
        </is>
      </c>
      <c r="F16" s="50">
        <f>#REF!</f>
        <v/>
      </c>
      <c r="G16" s="4" t="n"/>
      <c r="H16" s="4" t="n"/>
    </row>
    <row r="17">
      <c r="A17" s="4" t="n"/>
      <c r="B17" s="51" t="inlineStr">
        <is>
          <t>QA Lead</t>
        </is>
      </c>
      <c r="C17" s="41" t="inlineStr">
        <is>
          <t>Jaime Quiñelen</t>
        </is>
      </c>
      <c r="D17" s="4" t="n"/>
      <c r="E17" s="51" t="inlineStr">
        <is>
          <t>Responsable TI</t>
        </is>
      </c>
      <c r="F17" s="41">
        <f>'Plan de Pruebas'!H6</f>
        <v/>
      </c>
      <c r="G17" s="4" t="n"/>
      <c r="H17" s="4" t="n"/>
    </row>
    <row r="18">
      <c r="A18" s="4" t="n"/>
      <c r="B18" s="51" t="inlineStr">
        <is>
          <t>Fecha Inicio</t>
        </is>
      </c>
      <c r="C18" s="126" t="n"/>
      <c r="D18" s="4" t="n"/>
      <c r="E18" s="51" t="inlineStr">
        <is>
          <t>Fecha Fin</t>
        </is>
      </c>
      <c r="F18" s="53" t="n"/>
      <c r="G18" s="4" t="n"/>
      <c r="H18" s="4" t="n"/>
    </row>
    <row r="19">
      <c r="A19" s="4" t="n"/>
      <c r="B19" s="51" t="inlineStr">
        <is>
          <t>Total Casos</t>
        </is>
      </c>
      <c r="C19" s="41">
        <f>'Plan de Pruebas'!B24</f>
        <v/>
      </c>
      <c r="D19" s="4" t="n"/>
      <c r="E19" s="51" t="inlineStr">
        <is>
          <t>Total Horas Est.</t>
        </is>
      </c>
      <c r="F19" s="41" t="n"/>
      <c r="G19" s="4" t="n"/>
      <c r="H19" s="4" t="n"/>
    </row>
    <row r="20">
      <c r="A20" s="4" t="n"/>
      <c r="B20" s="51" t="inlineStr">
        <is>
          <t>Casos Ok Técnico</t>
        </is>
      </c>
      <c r="C20" s="53">
        <f>COUNTIF('Plan de Pruebas'!I6:I19,"Ok Técnico")</f>
        <v/>
      </c>
      <c r="D20" s="4" t="n"/>
      <c r="E20" s="51" t="inlineStr">
        <is>
          <t>Casos Exitosos</t>
        </is>
      </c>
      <c r="F20" s="53">
        <f>COUNTIF('Plan de Pruebas'!I6:I19,"Exitoso")</f>
        <v/>
      </c>
      <c r="G20" s="4" t="n"/>
      <c r="H20" s="4" t="n"/>
    </row>
    <row r="21">
      <c r="A21" s="4" t="n"/>
      <c r="B21" s="51" t="inlineStr">
        <is>
          <t>Casos Fallidos</t>
        </is>
      </c>
      <c r="C21" s="41">
        <f>COUNTIF('Plan de Pruebas'!I6:I19,"Fallido")</f>
        <v/>
      </c>
      <c r="D21" s="4" t="n"/>
      <c r="E21" s="51" t="inlineStr">
        <is>
          <t>Bloqueados</t>
        </is>
      </c>
      <c r="F21" s="41">
        <f>COUNTIF('Plan de Pruebas'!I6:I19,"Bloqueado")</f>
        <v/>
      </c>
      <c r="G21" s="4" t="n"/>
      <c r="H21" s="4" t="n"/>
    </row>
    <row r="22" ht="15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" customHeight="1">
      <c r="A23" s="89" t="inlineStr">
        <is>
          <t>▌  FIRMA Y CONFORMIDAD TÉCNICA</t>
        </is>
      </c>
      <c r="B23" s="114" t="n"/>
      <c r="C23" s="114" t="n"/>
      <c r="D23" s="114" t="n"/>
      <c r="E23" s="114" t="n"/>
      <c r="F23" s="114" t="n"/>
      <c r="G23" s="114" t="n"/>
      <c r="H23" s="115" t="n"/>
    </row>
    <row r="25">
      <c r="B25" s="54" t="inlineStr">
        <is>
          <t>Nombre Completo</t>
        </is>
      </c>
      <c r="C25" s="54" t="inlineStr">
        <is>
          <t>Cargo / Área TI</t>
        </is>
      </c>
      <c r="D25" s="54" t="inlineStr">
        <is>
          <t>Fecha de Validación</t>
        </is>
      </c>
      <c r="E25" s="54" t="inlineStr">
        <is>
          <t>Firma Digital</t>
        </is>
      </c>
    </row>
    <row r="26">
      <c r="B26" s="55">
        <f>'Plan de Pruebas'!H6</f>
        <v/>
      </c>
      <c r="C26" s="55" t="inlineStr">
        <is>
          <t>Área de Tecnología / TI</t>
        </is>
      </c>
      <c r="D26" s="55" t="n"/>
      <c r="E26" s="55" t="n"/>
    </row>
    <row r="27" ht="15" customHeight="1" thickBo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" customHeight="1" thickBot="1">
      <c r="A28" s="90" t="inlineStr">
        <is>
          <t>▌  ADJUNTAR EVIDENCIA TÉCNICA / FIRMA DIGITAL</t>
        </is>
      </c>
      <c r="B28" s="114" t="n"/>
      <c r="C28" s="114" t="n"/>
      <c r="D28" s="114" t="n"/>
      <c r="E28" s="114" t="n"/>
      <c r="F28" s="114" t="n"/>
      <c r="G28" s="114" t="n"/>
      <c r="H28" s="115" t="n"/>
    </row>
    <row r="29" ht="15" customHeight="1" thickBot="1">
      <c r="B29" s="91" t="inlineStr">
        <is>
          <t>ZONA PARA INSERTAR IMAGEN / FIRMA DIGITAL</t>
        </is>
      </c>
      <c r="C29" s="120" t="n"/>
      <c r="D29" s="120" t="n"/>
      <c r="E29" s="120" t="n"/>
      <c r="F29" s="120" t="n"/>
      <c r="G29" s="121" t="n"/>
    </row>
    <row r="30" ht="15" customHeight="1">
      <c r="B30" s="47" t="n"/>
      <c r="C30" s="47" t="n"/>
      <c r="D30" s="47" t="n"/>
      <c r="E30" s="47" t="n"/>
      <c r="F30" s="47" t="n"/>
      <c r="G30" s="47" t="n"/>
    </row>
    <row r="31">
      <c r="B31" s="48" t="n"/>
      <c r="C31" s="48" t="n"/>
      <c r="D31" s="48" t="n"/>
      <c r="E31" s="48" t="n"/>
      <c r="F31" s="48" t="n"/>
      <c r="G31" s="48" t="n"/>
    </row>
    <row r="32">
      <c r="B32" s="47" t="n"/>
      <c r="C32" s="47" t="n"/>
      <c r="D32" s="47" t="n"/>
      <c r="E32" s="47" t="n"/>
      <c r="F32" s="47" t="n"/>
      <c r="G32" s="47" t="n"/>
    </row>
    <row r="33">
      <c r="B33" s="48" t="n"/>
      <c r="C33" s="48" t="n"/>
      <c r="D33" s="48" t="n"/>
      <c r="E33" s="48" t="n"/>
      <c r="F33" s="48" t="n"/>
      <c r="G33" s="48" t="n"/>
    </row>
    <row r="34">
      <c r="B34" s="47" t="n"/>
      <c r="C34" s="47" t="n"/>
      <c r="D34" s="47" t="n"/>
      <c r="E34" s="47" t="n"/>
      <c r="F34" s="47" t="n"/>
      <c r="G34" s="47" t="n"/>
    </row>
    <row r="35">
      <c r="B35" s="48" t="n"/>
      <c r="C35" s="48" t="n"/>
      <c r="D35" s="48" t="n"/>
      <c r="E35" s="48" t="n"/>
      <c r="F35" s="48" t="n"/>
      <c r="G35" s="48" t="n"/>
    </row>
    <row r="36">
      <c r="B36" s="47" t="n"/>
      <c r="C36" s="47" t="n"/>
      <c r="D36" s="47" t="n"/>
      <c r="E36" s="47" t="n"/>
      <c r="F36" s="47" t="n"/>
      <c r="G36" s="47" t="n"/>
    </row>
    <row r="37">
      <c r="B37" s="92" t="inlineStr">
        <is>
          <t>⬆  Insertar aquí imagen de firma o evidencia  ⬆</t>
        </is>
      </c>
      <c r="C37" s="122" t="n"/>
      <c r="D37" s="122" t="n"/>
      <c r="E37" s="122" t="n"/>
      <c r="F37" s="122" t="n"/>
      <c r="G37" s="123" t="n"/>
    </row>
    <row r="38">
      <c r="B38" s="81" t="inlineStr">
        <is>
          <t>( Clic derecho → Insertar imagen )</t>
        </is>
      </c>
      <c r="C38" s="122" t="n"/>
      <c r="D38" s="122" t="n"/>
      <c r="E38" s="122" t="n"/>
      <c r="F38" s="122" t="n"/>
      <c r="G38" s="123" t="n"/>
    </row>
    <row r="39" ht="15" customHeight="1" thickBot="1">
      <c r="B39" s="48" t="n"/>
      <c r="C39" s="48" t="n"/>
      <c r="D39" s="48" t="n"/>
      <c r="E39" s="48" t="n"/>
      <c r="F39" s="48" t="n"/>
      <c r="G39" s="48" t="n"/>
    </row>
    <row r="40" ht="15" customHeight="1" thickBot="1">
      <c r="B40" s="48" t="n"/>
      <c r="C40" s="48" t="n"/>
      <c r="D40" s="48" t="n"/>
      <c r="E40" s="48" t="n"/>
      <c r="F40" s="48" t="n"/>
      <c r="G40" s="48" t="n"/>
    </row>
    <row r="41" ht="15" customHeight="1" thickBot="1">
      <c r="B41" s="48" t="n"/>
      <c r="C41" s="48" t="n"/>
      <c r="D41" s="48" t="n"/>
      <c r="E41" s="48" t="n"/>
      <c r="F41" s="48" t="n"/>
      <c r="G41" s="48" t="n"/>
    </row>
    <row r="42" ht="15" customHeight="1" thickBot="1">
      <c r="B42" s="48" t="n"/>
      <c r="C42" s="48" t="n"/>
      <c r="D42" s="48" t="n"/>
      <c r="E42" s="48" t="n"/>
      <c r="F42" s="48" t="n"/>
      <c r="G42" s="48" t="n"/>
    </row>
    <row r="43" ht="15" customHeight="1" thickBot="1">
      <c r="B43" s="48" t="n"/>
      <c r="C43" s="48" t="n"/>
      <c r="D43" s="48" t="n"/>
      <c r="E43" s="48" t="n"/>
      <c r="F43" s="48" t="n"/>
      <c r="G43" s="48" t="n"/>
    </row>
    <row r="44" ht="15" customHeight="1" thickBot="1">
      <c r="B44" s="47" t="n"/>
      <c r="C44" s="47" t="n"/>
      <c r="D44" s="47" t="n"/>
      <c r="E44" s="47" t="n"/>
      <c r="F44" s="47" t="n"/>
      <c r="G44" s="47" t="n"/>
    </row>
    <row r="45">
      <c r="B45" s="48" t="n"/>
      <c r="C45" s="48" t="n"/>
      <c r="D45" s="48" t="n"/>
      <c r="E45" s="48" t="n"/>
      <c r="F45" s="48" t="n"/>
      <c r="G45" s="48" t="n"/>
    </row>
    <row r="46">
      <c r="B46" s="47" t="n"/>
      <c r="C46" s="47" t="n"/>
      <c r="D46" s="47" t="n"/>
      <c r="E46" s="47" t="n"/>
      <c r="F46" s="47" t="n"/>
      <c r="G46" s="47" t="n"/>
    </row>
    <row r="47">
      <c r="B47" s="48" t="n"/>
      <c r="C47" s="48" t="n"/>
      <c r="D47" s="48" t="n"/>
      <c r="E47" s="48" t="n"/>
      <c r="F47" s="48" t="n"/>
      <c r="G47" s="48" t="n"/>
    </row>
    <row r="48">
      <c r="B48" s="47" t="n"/>
      <c r="C48" s="47" t="n"/>
      <c r="D48" s="47" t="n"/>
      <c r="E48" s="47" t="n"/>
      <c r="F48" s="47" t="n"/>
      <c r="G48" s="47" t="n"/>
    </row>
    <row r="49">
      <c r="B49" s="67" t="inlineStr">
        <is>
          <t>Tipo aceptado: JPG · PNG · PDF  |  Resolución mínima: 150 DPI</t>
        </is>
      </c>
      <c r="C49" s="122" t="n"/>
      <c r="D49" s="122" t="n"/>
      <c r="E49" s="122" t="n"/>
      <c r="F49" s="122" t="n"/>
      <c r="G49" s="123" t="n"/>
    </row>
    <row r="50" ht="15" customHeight="1"/>
    <row r="51" ht="18" customHeight="1">
      <c r="A51" s="82" t="inlineStr">
        <is>
          <t>⚙  ESTADO: APROBADO TÉCNICAMENTE — OK TI</t>
        </is>
      </c>
      <c r="B51" s="114" t="n"/>
      <c r="C51" s="114" t="n"/>
      <c r="D51" s="114" t="n"/>
      <c r="E51" s="114" t="n"/>
      <c r="F51" s="114" t="n"/>
      <c r="G51" s="114" t="n"/>
      <c r="H51" s="115" t="n"/>
    </row>
    <row r="53">
      <c r="A53" s="71" t="inlineStr">
        <is>
          <t xml:space="preserve"> Documento Confidencial — Solo Uso Interno  |  Generado: Abril 2026</t>
        </is>
      </c>
    </row>
  </sheetData>
  <mergeCells count="14">
    <mergeCell ref="B38:G38"/>
    <mergeCell ref="A12:H13"/>
    <mergeCell ref="A53:H53"/>
    <mergeCell ref="A15:H15"/>
    <mergeCell ref="A7:H7"/>
    <mergeCell ref="B37:G37"/>
    <mergeCell ref="A51:H51"/>
    <mergeCell ref="A28:H28"/>
    <mergeCell ref="B49:G49"/>
    <mergeCell ref="A11:H11"/>
    <mergeCell ref="A1:H1"/>
    <mergeCell ref="A23:H23"/>
    <mergeCell ref="A8:H8"/>
    <mergeCell ref="B29:G29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Quiñelen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2026-05-19T18:05:23Z</dcterms:modified>
  <cp:lastModifiedBy>Jaime Quiñelen</cp:lastModifiedBy>
  <cp:revision>0</cp:revision>
</cp:coreProperties>
</file>