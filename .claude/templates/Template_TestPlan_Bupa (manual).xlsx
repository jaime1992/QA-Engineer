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me Quiñelen\OneDrive\Escritorio\Gestión QA\0. Bupa_Mapeo_QA_Lead\Paso 4_N3_CI(Test) y TestPlan\"/>
    </mc:Choice>
  </mc:AlternateContent>
  <xr:revisionPtr revIDLastSave="0" documentId="13_ncr:1_{D1E8A3AF-E8C9-4A99-BDDB-1DE8CB23091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lan de Pruebas" sheetId="2" r:id="rId1"/>
    <sheet name="V°B Usuario" sheetId="5" r:id="rId2"/>
    <sheet name="Ok Técnico" sheetId="6" r:id="rId3"/>
  </sheets>
  <definedNames>
    <definedName name="B2B">#REF!</definedName>
    <definedName name="COMPUREDES">#REF!</definedName>
    <definedName name="COPS">#REF!</definedName>
    <definedName name="CRM">#REF!</definedName>
    <definedName name="Desarrollo">#REF!</definedName>
    <definedName name="DIGITAL">#REF!</definedName>
    <definedName name="DTH">#REF!</definedName>
    <definedName name="DWH">#REF!</definedName>
    <definedName name="DWH.">#REF!</definedName>
    <definedName name="EquipoM">#REF!</definedName>
    <definedName name="Estado">#REF!</definedName>
    <definedName name="EstadosBugs">#REF!</definedName>
    <definedName name="Estr">#REF!</definedName>
    <definedName name="Etapa">#REF!</definedName>
    <definedName name="Evidencia">#REF!</definedName>
    <definedName name="Evidencias">#REF!</definedName>
    <definedName name="Fijo">#REF!</definedName>
    <definedName name="Financiera">#REF!</definedName>
    <definedName name="FIXES">#REF!</definedName>
    <definedName name="fixes.">#REF!</definedName>
    <definedName name="Frecuencia">#REF!</definedName>
    <definedName name="Hogares">#REF!</definedName>
    <definedName name="Impacto">#REF!</definedName>
    <definedName name="Infraestructura">#REF!</definedName>
    <definedName name="MIFYL">#REF!</definedName>
    <definedName name="mostrar_período_largo">CHOOSE(período,"enero","febrero","marzo","abril","mayo","junio","julio","agosto","septiembre","octubre","noviembre","diciembre","año")</definedName>
    <definedName name="Movil">#REF!</definedName>
    <definedName name="Negocio">#REF!</definedName>
    <definedName name="Objetivo">#REF!</definedName>
    <definedName name="Operaciones">#REF!</definedName>
    <definedName name="Operaciones.">#REF!</definedName>
    <definedName name="Peso">#REF!</definedName>
    <definedName name="POE">#REF!</definedName>
    <definedName name="Prepago">#REF!</definedName>
    <definedName name="Probabilidad">#REF!</definedName>
    <definedName name="Pruebas">#REF!</definedName>
    <definedName name="QVISION">#REF!</definedName>
    <definedName name="SiebelFijo">#REF!</definedName>
    <definedName name="STEFANINI">#REF!</definedName>
    <definedName name="Terceros">#REF!</definedName>
    <definedName name="Transversales">#REF!</definedName>
    <definedName name="Usuarios">#REF!</definedName>
    <definedName name="valores_de_período_de_categorías_de_gastos_mostradas">OFFSET(categorías_de_gastos_mostradas,,período)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6" l="1"/>
  <c r="F21" i="6"/>
  <c r="C21" i="6"/>
  <c r="F20" i="6"/>
  <c r="C20" i="6"/>
  <c r="F17" i="6"/>
  <c r="F16" i="6"/>
  <c r="C16" i="6"/>
  <c r="B26" i="5"/>
  <c r="F21" i="5"/>
  <c r="C21" i="5"/>
  <c r="F20" i="5"/>
  <c r="C20" i="5"/>
  <c r="C16" i="5"/>
  <c r="B191" i="2"/>
  <c r="B24" i="2"/>
  <c r="C19" i="6" s="1"/>
  <c r="C19" i="5" l="1"/>
</calcChain>
</file>

<file path=xl/sharedStrings.xml><?xml version="1.0" encoding="utf-8"?>
<sst xmlns="http://schemas.openxmlformats.org/spreadsheetml/2006/main" count="105" uniqueCount="71">
  <si>
    <t>PLANIFICACIÓN Y EJECUCIÓN DE CASOS DE PRUEBA</t>
  </si>
  <si>
    <t>Requerimiento</t>
  </si>
  <si>
    <t>PLANIFICACIÓN 
Y EJECUCIÓN DE CASOS DE PRUEBA</t>
  </si>
  <si>
    <t>ID</t>
  </si>
  <si>
    <t>Descripción del Caso de Prueba</t>
  </si>
  <si>
    <t>Nivel Complejidad
(Pre-Condición)</t>
  </si>
  <si>
    <t>Resultado Esperado
(Post-Condiciones)</t>
  </si>
  <si>
    <t>Complejidad
Caso</t>
  </si>
  <si>
    <t>Responsable
Usuario</t>
  </si>
  <si>
    <t>Responsable
TI</t>
  </si>
  <si>
    <t>Estado</t>
  </si>
  <si>
    <t>Notas /
Comentarios</t>
  </si>
  <si>
    <t>Alta</t>
  </si>
  <si>
    <t>En pruebas</t>
  </si>
  <si>
    <t>Baja</t>
  </si>
  <si>
    <t>Media - Alta</t>
  </si>
  <si>
    <t>Exitoso</t>
  </si>
  <si>
    <t xml:space="preserve">Media </t>
  </si>
  <si>
    <t>Fallido</t>
  </si>
  <si>
    <t>Media - Baja</t>
  </si>
  <si>
    <t>Ok Técnico</t>
  </si>
  <si>
    <t>No Aplica</t>
  </si>
  <si>
    <t>Total Horas Estimadas de Ejecución →</t>
  </si>
  <si>
    <t>Total Casos de Prueba →</t>
  </si>
  <si>
    <t>LEYENDA – ESTADO DE CASOS</t>
  </si>
  <si>
    <t>Bloqueado</t>
  </si>
  <si>
    <t>Por Ejecutar</t>
  </si>
  <si>
    <t>Total Casos</t>
  </si>
  <si>
    <t>( Clic derecho → Insertar imagen )</t>
  </si>
  <si>
    <t>✔   V°B USUARIO  —  APROBACIÓN FUNCIONAL</t>
  </si>
  <si>
    <t>El/La abajo firmante declara haber revisado, ejecutado y aprobado los casos de prueba del presente documento.</t>
  </si>
  <si>
    <t>▌  DATOS DEL PROYECTO</t>
  </si>
  <si>
    <t>Proyecto</t>
  </si>
  <si>
    <t>Responsable QA</t>
  </si>
  <si>
    <t>Responsable Usuario</t>
  </si>
  <si>
    <t>Fecha Inicio</t>
  </si>
  <si>
    <t>Fecha Fin</t>
  </si>
  <si>
    <t>Total Horas</t>
  </si>
  <si>
    <t>Casos Exitosos</t>
  </si>
  <si>
    <t>Casos Fallidos</t>
  </si>
  <si>
    <t>▌  FIRMA Y CONFORMIDAD DEL USUARIO</t>
  </si>
  <si>
    <t>Nombre Completo</t>
  </si>
  <si>
    <t>Cargo / Área</t>
  </si>
  <si>
    <t>Fecha de Aprobación</t>
  </si>
  <si>
    <t>RUT</t>
  </si>
  <si>
    <t>Responsable Funcional</t>
  </si>
  <si>
    <t>▌  ADJUNTAR EVIDENCIA / FIRMA DIGITAL</t>
  </si>
  <si>
    <t>ZONA PARA INSERTAR IMAGEN / FIRMA DIGITAL</t>
  </si>
  <si>
    <t>⬆  Insertar aquí imagen de firma o evidencia  ⬆</t>
  </si>
  <si>
    <t>Tipo aceptado: JPG · PNG · PDF  |  Resolución mínima: 150 DPI</t>
  </si>
  <si>
    <t>✔  ESTADO: APROBADO POR USUARIO</t>
  </si>
  <si>
    <t>⚙   OK TÉCNICO  —  VALIDACIÓN Y APROBACIÓN TI</t>
  </si>
  <si>
    <t>El/La abajo firmante certifica que las funcionalidades técnicas han sido validadas y cumplen los criterios de aceptación.</t>
  </si>
  <si>
    <t>QA Lead</t>
  </si>
  <si>
    <t>Responsable TI</t>
  </si>
  <si>
    <t>Total Horas Est.</t>
  </si>
  <si>
    <t>Casos Ok Técnico</t>
  </si>
  <si>
    <t>Bloqueados</t>
  </si>
  <si>
    <t>▌  FIRMA Y CONFORMIDAD TÉCNICA</t>
  </si>
  <si>
    <t>Cargo / Área TI</t>
  </si>
  <si>
    <t>Fecha de Validación</t>
  </si>
  <si>
    <t>Firma Digital</t>
  </si>
  <si>
    <t>Área de Tecnología / TI</t>
  </si>
  <si>
    <t>▌  ADJUNTAR EVIDENCIA TÉCNICA / FIRMA DIGITAL</t>
  </si>
  <si>
    <t>⚙  ESTADO: APROBADO TÉCNICAMENTE — OK TI</t>
  </si>
  <si>
    <t>Jaime Quiñelen</t>
  </si>
  <si>
    <t>Proyecto: Por Definir  |  QA Lead: Jaime Quiñelen  |  Fecha: Abril 2026  |  Versión: v1.0</t>
  </si>
  <si>
    <t>Por Definir</t>
  </si>
  <si>
    <t>Incidente
Asociado Jira</t>
  </si>
  <si>
    <t>Proyecto: Por definir  |  QA Lead: Jaime Quiñelen  |  Fecha: Abril 2026  |  Versión: v1.0</t>
  </si>
  <si>
    <t xml:space="preserve"> Documento Confidencial — Solo Uso Interno  |  Generado: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</si>
</sst>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35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22"/>
      <color theme="1"/>
      <name val="Arial"/>
      <family val="2"/>
      <charset val="1"/>
    </font>
    <font>
      <b/>
      <sz val="13"/>
      <color rgb="FFFFFFFF"/>
      <name val="Arial"/>
      <family val="2"/>
      <charset val="1"/>
    </font>
    <font>
      <i/>
      <sz val="8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0"/>
      <color theme="0" tint="-0.34998626667073579"/>
      <name val="Century Gothic"/>
      <family val="1"/>
      <charset val="1"/>
    </font>
    <font>
      <b/>
      <sz val="16"/>
      <color theme="0" tint="-0.34998626667073579"/>
      <name val="Century Gothic"/>
      <family val="1"/>
      <charset val="1"/>
    </font>
    <font>
      <b/>
      <sz val="13"/>
      <color rgb="FF003087"/>
      <name val="Arial"/>
      <family val="2"/>
      <charset val="1"/>
    </font>
    <font>
      <i/>
      <sz val="9"/>
      <color rgb="FFFFFFFF"/>
      <name val="Arial"/>
      <family val="2"/>
      <charset val="1"/>
    </font>
    <font>
      <sz val="1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theme="1"/>
      <name val="Century Gothic"/>
      <family val="1"/>
      <charset val="1"/>
    </font>
    <font>
      <sz val="9"/>
      <color rgb="FF1A1A2E"/>
      <name val="Arial"/>
      <family val="2"/>
      <charset val="1"/>
    </font>
    <font>
      <b/>
      <sz val="8"/>
      <color rgb="FF1A6FA8"/>
      <name val="Arial"/>
      <family val="2"/>
      <charset val="1"/>
    </font>
    <font>
      <b/>
      <sz val="8"/>
      <color rgb="FF1D6A39"/>
      <name val="Arial"/>
      <family val="2"/>
      <charset val="1"/>
    </font>
    <font>
      <b/>
      <sz val="8"/>
      <color rgb="FF922B21"/>
      <name val="Arial"/>
      <family val="2"/>
      <charset val="1"/>
    </font>
    <font>
      <b/>
      <sz val="8"/>
      <color rgb="FF1A5276"/>
      <name val="Arial"/>
      <family val="2"/>
      <charset val="1"/>
    </font>
    <font>
      <b/>
      <sz val="8"/>
      <color rgb="FF626567"/>
      <name val="Arial"/>
      <family val="2"/>
      <charset val="1"/>
    </font>
    <font>
      <b/>
      <sz val="9"/>
      <color rgb="FF003087"/>
      <name val="Arial"/>
      <family val="2"/>
      <charset val="1"/>
    </font>
    <font>
      <b/>
      <sz val="8"/>
      <color rgb="FF9C640C"/>
      <name val="Arial"/>
      <family val="2"/>
      <charset val="1"/>
    </font>
    <font>
      <b/>
      <sz val="8"/>
      <color rgb="FF5D6D7E"/>
      <name val="Arial"/>
      <family val="2"/>
      <charset val="1"/>
    </font>
    <font>
      <b/>
      <sz val="18"/>
      <color rgb="FFFFFFFF"/>
      <name val="Arial"/>
      <family val="2"/>
      <charset val="1"/>
    </font>
    <font>
      <b/>
      <sz val="9"/>
      <color rgb="FF1D6A39"/>
      <name val="Arial"/>
      <family val="2"/>
      <charset val="1"/>
    </font>
    <font>
      <i/>
      <sz val="8"/>
      <color rgb="FFAAAAAA"/>
      <name val="Arial"/>
      <family val="2"/>
      <charset val="1"/>
    </font>
    <font>
      <i/>
      <sz val="8"/>
      <color rgb="FF626567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9"/>
      <color rgb="FF2E6DA4"/>
      <name val="Arial"/>
      <family val="2"/>
      <charset val="1"/>
    </font>
    <font>
      <i/>
      <sz val="10"/>
      <color rgb="FF2E6DA4"/>
      <name val="Arial"/>
      <family val="2"/>
      <charset val="1"/>
    </font>
    <font>
      <b/>
      <sz val="13"/>
      <color theme="3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i/>
      <sz val="9"/>
      <color rgb="FF888888"/>
      <name val="Arial"/>
      <family val="2"/>
      <charset val="1"/>
    </font>
    <font>
      <b/>
      <sz val="14"/>
      <color theme="0"/>
      <name val="Century Gothic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4" tint="0.79979857783745845"/>
        <bgColor rgb="FFD6EAF8"/>
      </patternFill>
    </fill>
    <fill>
      <patternFill patternType="solid">
        <fgColor rgb="FF003087"/>
        <bgColor rgb="FF1A2A5E"/>
      </patternFill>
    </fill>
    <fill>
      <patternFill patternType="solid">
        <fgColor rgb="FFFFFFFF"/>
        <bgColor rgb="FFF5F9FF"/>
      </patternFill>
    </fill>
    <fill>
      <patternFill patternType="solid">
        <fgColor rgb="FF0066CC"/>
        <bgColor rgb="FF1A6FA8"/>
      </patternFill>
    </fill>
    <fill>
      <patternFill patternType="solid">
        <fgColor rgb="FFD6E8F8"/>
        <bgColor rgb="FFD6EAF8"/>
      </patternFill>
    </fill>
    <fill>
      <patternFill patternType="solid">
        <fgColor rgb="FFF2F6FB"/>
        <bgColor rgb="FFF5F8FF"/>
      </patternFill>
    </fill>
    <fill>
      <patternFill patternType="solid">
        <fgColor rgb="FFD6EAF8"/>
        <bgColor rgb="FFD6E8F8"/>
      </patternFill>
    </fill>
    <fill>
      <patternFill patternType="solid">
        <fgColor rgb="FFD5F5E3"/>
        <bgColor rgb="FFD1FAE5"/>
      </patternFill>
    </fill>
    <fill>
      <patternFill patternType="solid">
        <fgColor rgb="FFFADBD8"/>
        <bgColor rgb="FFFDEBD0"/>
      </patternFill>
    </fill>
    <fill>
      <patternFill patternType="solid">
        <fgColor rgb="FFF2F3F4"/>
        <bgColor rgb="FFF5F5F5"/>
      </patternFill>
    </fill>
    <fill>
      <patternFill patternType="solid">
        <fgColor rgb="FFFEF9E7"/>
        <bgColor rgb="FFF5F5F5"/>
      </patternFill>
    </fill>
    <fill>
      <patternFill patternType="solid">
        <fgColor rgb="FFEAF2FF"/>
        <bgColor rgb="FFF2F6FB"/>
      </patternFill>
    </fill>
    <fill>
      <patternFill patternType="solid">
        <fgColor rgb="FF1D6A39"/>
        <bgColor rgb="FF1A5276"/>
      </patternFill>
    </fill>
    <fill>
      <patternFill patternType="solid">
        <fgColor rgb="FFF5F8FF"/>
        <bgColor rgb="FFF5F9FF"/>
      </patternFill>
    </fill>
    <fill>
      <patternFill patternType="solid">
        <fgColor rgb="FF1A2A5E"/>
        <bgColor rgb="FF1A1A2E"/>
      </patternFill>
    </fill>
    <fill>
      <patternFill patternType="solid">
        <fgColor rgb="FF2E6DA4"/>
        <bgColor rgb="FF1A6FA8"/>
      </patternFill>
    </fill>
    <fill>
      <patternFill patternType="solid">
        <fgColor theme="9" tint="-0.499984740745262"/>
        <bgColor rgb="FF1A1A2E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6795556505020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  <border>
      <left style="thin">
        <color rgb="FFBDD4EA"/>
      </left>
      <right/>
      <top style="thin">
        <color rgb="FFBDD4EA"/>
      </top>
      <bottom style="thin">
        <color rgb="FFBDD4E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medium">
        <color rgb="FF003087"/>
      </left>
      <right style="medium">
        <color rgb="FF003087"/>
      </right>
      <top/>
      <bottom style="medium">
        <color rgb="FF003087"/>
      </bottom>
      <diagonal/>
    </border>
    <border>
      <left style="medium">
        <color rgb="FF003087"/>
      </left>
      <right style="medium">
        <color rgb="FF003087"/>
      </right>
      <top style="medium">
        <color rgb="FF003087"/>
      </top>
      <bottom style="medium">
        <color rgb="FF00308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9" fontId="31" fillId="0" borderId="0"/>
    <xf numFmtId="0" fontId="30" fillId="0" borderId="1"/>
  </cellStyleXfs>
  <cellXfs count="9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4" borderId="0" xfId="0" applyFill="1"/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0" fontId="11" fillId="3" borderId="0" xfId="0" applyFont="1" applyFill="1"/>
    <xf numFmtId="0" fontId="12" fillId="3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165" fontId="14" fillId="4" borderId="3" xfId="0" applyNumberFormat="1" applyFont="1" applyFill="1" applyBorder="1" applyAlignment="1">
      <alignment horizontal="left" vertical="center" wrapText="1"/>
    </xf>
    <xf numFmtId="165" fontId="14" fillId="4" borderId="3" xfId="0" applyNumberFormat="1" applyFont="1" applyFill="1" applyBorder="1" applyAlignment="1">
      <alignment horizontal="center" vertical="center" wrapText="1"/>
    </xf>
    <xf numFmtId="165" fontId="14" fillId="4" borderId="3" xfId="0" applyNumberFormat="1" applyFont="1" applyFill="1" applyBorder="1" applyAlignment="1">
      <alignment horizontal="center" vertical="center"/>
    </xf>
    <xf numFmtId="165" fontId="15" fillId="8" borderId="3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/>
    </xf>
    <xf numFmtId="165" fontId="14" fillId="7" borderId="3" xfId="0" applyNumberFormat="1" applyFont="1" applyFill="1" applyBorder="1" applyAlignment="1">
      <alignment horizontal="left" vertical="center" wrapText="1"/>
    </xf>
    <xf numFmtId="165" fontId="14" fillId="7" borderId="3" xfId="0" applyNumberFormat="1" applyFont="1" applyFill="1" applyBorder="1" applyAlignment="1">
      <alignment horizontal="center" vertical="center" wrapText="1"/>
    </xf>
    <xf numFmtId="165" fontId="14" fillId="7" borderId="3" xfId="0" applyNumberFormat="1" applyFont="1" applyFill="1" applyBorder="1" applyAlignment="1">
      <alignment horizontal="center" vertical="center"/>
    </xf>
    <xf numFmtId="165" fontId="16" fillId="9" borderId="3" xfId="0" applyNumberFormat="1" applyFont="1" applyFill="1" applyBorder="1" applyAlignment="1">
      <alignment horizontal="center" vertical="center" wrapText="1"/>
    </xf>
    <xf numFmtId="165" fontId="17" fillId="10" borderId="3" xfId="0" applyNumberFormat="1" applyFont="1" applyFill="1" applyBorder="1" applyAlignment="1">
      <alignment horizontal="center" vertical="center" wrapText="1"/>
    </xf>
    <xf numFmtId="165" fontId="18" fillId="8" borderId="3" xfId="0" applyNumberFormat="1" applyFont="1" applyFill="1" applyBorder="1" applyAlignment="1">
      <alignment horizontal="center" vertical="center" wrapText="1"/>
    </xf>
    <xf numFmtId="165" fontId="19" fillId="11" borderId="3" xfId="0" applyNumberFormat="1" applyFont="1" applyFill="1" applyBorder="1" applyAlignment="1">
      <alignment horizontal="center" vertical="center" wrapText="1"/>
    </xf>
    <xf numFmtId="0" fontId="11" fillId="4" borderId="0" xfId="0" applyFont="1" applyFill="1"/>
    <xf numFmtId="0" fontId="11" fillId="2" borderId="0" xfId="0" applyFont="1" applyFill="1"/>
    <xf numFmtId="0" fontId="6" fillId="3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9" xfId="0" applyFont="1" applyFill="1" applyBorder="1" applyAlignment="1">
      <alignment horizontal="right" vertical="center"/>
    </xf>
    <xf numFmtId="0" fontId="14" fillId="7" borderId="9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left" vertical="center"/>
    </xf>
    <xf numFmtId="164" fontId="14" fillId="7" borderId="2" xfId="0" applyNumberFormat="1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0" fillId="15" borderId="11" xfId="0" applyFill="1" applyBorder="1"/>
    <xf numFmtId="0" fontId="0" fillId="4" borderId="11" xfId="0" applyFill="1" applyBorder="1"/>
    <xf numFmtId="0" fontId="12" fillId="16" borderId="9" xfId="0" applyFont="1" applyFill="1" applyBorder="1" applyAlignment="1">
      <alignment horizontal="right" vertical="center"/>
    </xf>
    <xf numFmtId="0" fontId="14" fillId="6" borderId="9" xfId="0" applyFont="1" applyFill="1" applyBorder="1" applyAlignment="1">
      <alignment horizontal="left" vertical="center"/>
    </xf>
    <xf numFmtId="0" fontId="12" fillId="16" borderId="2" xfId="0" applyFont="1" applyFill="1" applyBorder="1" applyAlignment="1">
      <alignment horizontal="right" vertical="center"/>
    </xf>
    <xf numFmtId="164" fontId="14" fillId="6" borderId="2" xfId="0" applyNumberFormat="1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2" fillId="17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0" fillId="6" borderId="4" xfId="0" applyFont="1" applyFill="1" applyBorder="1" applyAlignment="1">
      <alignment horizontal="right" vertical="center"/>
    </xf>
    <xf numFmtId="0" fontId="0" fillId="3" borderId="0" xfId="0" applyFill="1"/>
    <xf numFmtId="0" fontId="3" fillId="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/>
    </xf>
    <xf numFmtId="0" fontId="27" fillId="14" borderId="18" xfId="0" applyFont="1" applyFill="1" applyBorder="1" applyAlignment="1">
      <alignment horizontal="center" vertical="center"/>
    </xf>
    <xf numFmtId="0" fontId="27" fillId="14" borderId="19" xfId="0" applyFont="1" applyFill="1" applyBorder="1" applyAlignment="1">
      <alignment horizontal="center" vertical="center"/>
    </xf>
    <xf numFmtId="0" fontId="27" fillId="14" borderId="20" xfId="0" applyFont="1" applyFill="1" applyBorder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27" fillId="14" borderId="18" xfId="0" applyFont="1" applyFill="1" applyBorder="1" applyAlignment="1">
      <alignment horizontal="left" vertical="center"/>
    </xf>
    <xf numFmtId="0" fontId="27" fillId="14" borderId="19" xfId="0" applyFont="1" applyFill="1" applyBorder="1" applyAlignment="1">
      <alignment horizontal="left" vertical="center"/>
    </xf>
    <xf numFmtId="0" fontId="27" fillId="14" borderId="20" xfId="0" applyFont="1" applyFill="1" applyBorder="1" applyAlignment="1">
      <alignment horizontal="left" vertical="center"/>
    </xf>
    <xf numFmtId="0" fontId="24" fillId="6" borderId="10" xfId="0" applyFont="1" applyFill="1" applyBorder="1" applyAlignment="1">
      <alignment horizontal="center" vertical="center"/>
    </xf>
    <xf numFmtId="0" fontId="0" fillId="16" borderId="0" xfId="0" applyFill="1"/>
    <xf numFmtId="0" fontId="3" fillId="16" borderId="5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23" fillId="18" borderId="7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27" fillId="18" borderId="7" xfId="0" applyFont="1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center" vertical="center" wrapText="1"/>
    </xf>
    <xf numFmtId="0" fontId="10" fillId="17" borderId="13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/>
    </xf>
    <xf numFmtId="0" fontId="10" fillId="17" borderId="15" xfId="0" applyFont="1" applyFill="1" applyBorder="1" applyAlignment="1">
      <alignment horizontal="center" vertical="center" wrapText="1"/>
    </xf>
    <xf numFmtId="0" fontId="10" fillId="17" borderId="16" xfId="0" applyFont="1" applyFill="1" applyBorder="1" applyAlignment="1">
      <alignment horizontal="center" vertical="center" wrapText="1"/>
    </xf>
    <xf numFmtId="0" fontId="10" fillId="17" borderId="17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left" vertical="center"/>
    </xf>
    <xf numFmtId="0" fontId="27" fillId="18" borderId="7" xfId="0" applyFont="1" applyFill="1" applyBorder="1" applyAlignment="1">
      <alignment horizontal="left" vertical="center"/>
    </xf>
    <xf numFmtId="0" fontId="28" fillId="6" borderId="10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</cellXfs>
  <cellStyles count="4">
    <cellStyle name="Excel Built-in Heading 2" xfId="3" xr:uid="{00000000-0005-0000-0000-000008000000}"/>
    <cellStyle name="Normal" xfId="0" builtinId="0"/>
    <cellStyle name="Normal 2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EF9E7"/>
      <rgbColor rgb="FFF5EEF8"/>
      <rgbColor rgb="FFEAF2FF"/>
      <rgbColor rgb="FF800000"/>
      <rgbColor rgb="FF1D6A39"/>
      <rgbColor rgb="FF000080"/>
      <rgbColor rgb="FF9C640C"/>
      <rgbColor rgb="FFF5F9FF"/>
      <rgbColor rgb="FF1A6FA8"/>
      <rgbColor rgb="FFBFBFBF"/>
      <rgbColor rgb="FF7F7F7F"/>
      <rgbColor rgb="FFA6A6A6"/>
      <rgbColor rgb="FF6C3483"/>
      <rgbColor rgb="FFFEF3C7"/>
      <rgbColor rgb="FFD5F5E3"/>
      <rgbColor rgb="FF660066"/>
      <rgbColor rgb="FFAAAAAA"/>
      <rgbColor rgb="FF0066CC"/>
      <rgbColor rgb="FFBDD4EA"/>
      <rgbColor rgb="FF000080"/>
      <rgbColor rgb="FFF5F8FF"/>
      <rgbColor rgb="FFDDDDDD"/>
      <rgbColor rgb="FFF2F6FB"/>
      <rgbColor rgb="FF800080"/>
      <rgbColor rgb="FF800000"/>
      <rgbColor rgb="FF44546A"/>
      <rgbColor rgb="FF0000FF"/>
      <rgbColor rgb="FFF2F3F4"/>
      <rgbColor rgb="FFD6EAF8"/>
      <rgbColor rgb="FFD1FAE5"/>
      <rgbColor rgb="FFFDEBD0"/>
      <rgbColor rgb="FFADCDEA"/>
      <rgbColor rgb="FFCCCCCC"/>
      <rgbColor rgb="FFBBBBBB"/>
      <rgbColor rgb="FFFADBD8"/>
      <rgbColor rgb="FF2E6DA4"/>
      <rgbColor rgb="FFD6E8F8"/>
      <rgbColor rgb="FFA9D18E"/>
      <rgbColor rgb="FFFFC000"/>
      <rgbColor rgb="FFDEEBF7"/>
      <rgbColor rgb="FFE67E22"/>
      <rgbColor rgb="FF5D6D7E"/>
      <rgbColor rgb="FF888888"/>
      <rgbColor rgb="FF003087"/>
      <rgbColor rgb="FF626567"/>
      <rgbColor rgb="FF003300"/>
      <rgbColor rgb="FF1A1A2E"/>
      <rgbColor rgb="FF922B21"/>
      <rgbColor rgb="FFC0392B"/>
      <rgbColor rgb="FF1A5276"/>
      <rgbColor rgb="FF1A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175049</xdr:colOff>
      <xdr:row>1</xdr:row>
      <xdr:rowOff>8679</xdr:rowOff>
    </xdr:from>
    <xdr:to>
      <xdr:col>2</xdr:col>
      <xdr:colOff>1019316</xdr:colOff>
      <xdr:row>2</xdr:row>
      <xdr:rowOff>497417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A9E1A-7207-482B-8DBE-140F2C60E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49" y="410846"/>
          <a:ext cx="1532184" cy="1070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21981</xdr:colOff>
      <xdr:row>1</xdr:row>
      <xdr:rowOff>22274</xdr:rowOff>
    </xdr:from>
    <xdr:to>
      <xdr:col>1</xdr:col>
      <xdr:colOff>996461</xdr:colOff>
      <xdr:row>5</xdr:row>
      <xdr:rowOff>116469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09334D-8F59-92AE-4C70-5650A978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1" y="205447"/>
          <a:ext cx="1186961" cy="8268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21980</xdr:rowOff>
    </xdr:from>
    <xdr:to>
      <xdr:col>1</xdr:col>
      <xdr:colOff>984005</xdr:colOff>
      <xdr:row>5</xdr:row>
      <xdr:rowOff>123795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945A0B-502A-414A-A39F-1BB8E3F36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153"/>
          <a:ext cx="1196486" cy="834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087"/>
  </sheetPr>
  <dimension ref="A1:O752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7" sqref="I7"/>
    </sheetView>
  </sheetViews>
  <sheetFormatPr baseColWidth="10" defaultColWidth="66.5546875" defaultRowHeight="14.4" x14ac:dyDescent="0.3"/>
  <cols>
    <col min="1" max="1" width="3" style="1" customWidth="1"/>
    <col min="2" max="2" width="7" style="5" customWidth="1"/>
    <col min="3" max="3" width="32" style="5" customWidth="1"/>
    <col min="4" max="4" width="20" style="5" customWidth="1"/>
    <col min="5" max="5" width="36" style="5" customWidth="1"/>
    <col min="6" max="6" width="14" style="5" customWidth="1"/>
    <col min="7" max="8" width="18" style="5" customWidth="1"/>
    <col min="9" max="9" width="13" style="5" customWidth="1"/>
    <col min="10" max="10" width="16" style="5" customWidth="1"/>
    <col min="11" max="11" width="22" style="5" customWidth="1"/>
    <col min="12" max="13" width="66.5546875" style="5"/>
    <col min="14" max="15" width="66.5546875" style="6"/>
    <col min="16" max="16384" width="66.5546875" style="1"/>
  </cols>
  <sheetData>
    <row r="1" spans="1:15" s="2" customFormat="1" ht="31.2" customHeight="1" x14ac:dyDescent="0.3">
      <c r="A1" s="58" t="s">
        <v>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7"/>
      <c r="M1" s="7"/>
      <c r="N1" s="8"/>
      <c r="O1" s="8"/>
    </row>
    <row r="2" spans="1:15" s="2" customFormat="1" ht="45.75" customHeight="1" x14ac:dyDescent="0.3">
      <c r="A2" s="9"/>
      <c r="B2" s="9"/>
      <c r="C2" s="9"/>
      <c r="D2" s="9"/>
      <c r="E2" s="9"/>
      <c r="F2" s="9"/>
      <c r="G2" s="59" t="s">
        <v>0</v>
      </c>
      <c r="H2" s="59"/>
      <c r="I2" s="59"/>
      <c r="J2" s="59"/>
      <c r="K2" s="59"/>
      <c r="L2" s="7"/>
      <c r="M2" s="7"/>
      <c r="N2" s="8"/>
      <c r="O2" s="8"/>
    </row>
    <row r="3" spans="1:15" s="2" customFormat="1" ht="45.75" customHeight="1" x14ac:dyDescent="0.3">
      <c r="A3" s="9"/>
      <c r="B3" s="9"/>
      <c r="C3" s="9"/>
      <c r="D3" s="9"/>
      <c r="E3" s="9"/>
      <c r="F3" s="9"/>
      <c r="G3" s="59"/>
      <c r="H3" s="59"/>
      <c r="I3" s="59"/>
      <c r="J3" s="59"/>
      <c r="K3" s="59"/>
      <c r="L3" s="7"/>
      <c r="M3" s="7"/>
      <c r="N3" s="8"/>
      <c r="O3" s="8"/>
    </row>
    <row r="4" spans="1:15" s="2" customFormat="1" ht="25.5" customHeight="1" x14ac:dyDescent="0.3">
      <c r="A4" s="60" t="s">
        <v>66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7"/>
      <c r="M4" s="7"/>
      <c r="N4" s="8"/>
      <c r="O4" s="8"/>
    </row>
    <row r="5" spans="1:15" ht="36" customHeight="1" x14ac:dyDescent="0.3">
      <c r="A5" s="10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68</v>
      </c>
      <c r="K5" s="11" t="s">
        <v>11</v>
      </c>
      <c r="L5" s="12"/>
      <c r="M5" s="12"/>
      <c r="N5" s="1"/>
      <c r="O5" s="1"/>
    </row>
    <row r="6" spans="1:15" ht="21.75" customHeight="1" x14ac:dyDescent="0.3">
      <c r="A6" s="13"/>
      <c r="B6" s="14">
        <v>1</v>
      </c>
      <c r="C6" s="20"/>
      <c r="D6" s="16" t="s">
        <v>12</v>
      </c>
      <c r="E6" s="15"/>
      <c r="F6" s="17" t="s">
        <v>12</v>
      </c>
      <c r="G6" s="17" t="s">
        <v>67</v>
      </c>
      <c r="H6" s="17" t="s">
        <v>67</v>
      </c>
      <c r="I6" s="18" t="s">
        <v>13</v>
      </c>
      <c r="J6" s="17"/>
      <c r="K6" s="15"/>
      <c r="L6" s="12"/>
      <c r="M6" s="12"/>
      <c r="N6" s="1"/>
      <c r="O6" s="1"/>
    </row>
    <row r="7" spans="1:15" ht="21.75" customHeight="1" x14ac:dyDescent="0.3">
      <c r="A7" s="13"/>
      <c r="B7" s="19">
        <v>2</v>
      </c>
      <c r="C7" s="20"/>
      <c r="D7" s="21" t="s">
        <v>14</v>
      </c>
      <c r="E7" s="15"/>
      <c r="F7" s="22" t="s">
        <v>15</v>
      </c>
      <c r="G7" s="17" t="s">
        <v>67</v>
      </c>
      <c r="H7" s="17" t="s">
        <v>67</v>
      </c>
      <c r="I7" s="23" t="s">
        <v>16</v>
      </c>
      <c r="J7" s="22"/>
      <c r="K7" s="20"/>
      <c r="L7" s="12"/>
      <c r="M7" s="12"/>
      <c r="N7" s="1"/>
      <c r="O7" s="1"/>
    </row>
    <row r="8" spans="1:15" ht="21.75" customHeight="1" x14ac:dyDescent="0.3">
      <c r="A8" s="13"/>
      <c r="B8" s="14">
        <v>3</v>
      </c>
      <c r="C8" s="20"/>
      <c r="D8" s="16" t="s">
        <v>17</v>
      </c>
      <c r="E8" s="15"/>
      <c r="F8" s="17" t="s">
        <v>14</v>
      </c>
      <c r="G8" s="17" t="s">
        <v>67</v>
      </c>
      <c r="H8" s="17" t="s">
        <v>67</v>
      </c>
      <c r="I8" s="24" t="s">
        <v>18</v>
      </c>
      <c r="J8" s="17"/>
      <c r="K8" s="15"/>
      <c r="L8" s="12"/>
      <c r="M8" s="12"/>
      <c r="N8" s="1"/>
      <c r="O8" s="1"/>
    </row>
    <row r="9" spans="1:15" ht="21.75" customHeight="1" x14ac:dyDescent="0.3">
      <c r="A9" s="13"/>
      <c r="B9" s="19">
        <v>4</v>
      </c>
      <c r="C9" s="20"/>
      <c r="D9" s="21" t="s">
        <v>17</v>
      </c>
      <c r="E9" s="20"/>
      <c r="F9" s="22" t="s">
        <v>19</v>
      </c>
      <c r="G9" s="17" t="s">
        <v>67</v>
      </c>
      <c r="H9" s="17" t="s">
        <v>67</v>
      </c>
      <c r="I9" s="25" t="s">
        <v>20</v>
      </c>
      <c r="J9" s="22"/>
      <c r="K9" s="20"/>
      <c r="L9" s="12"/>
      <c r="M9" s="12"/>
      <c r="N9" s="1"/>
      <c r="O9" s="1"/>
    </row>
    <row r="10" spans="1:15" ht="21.75" customHeight="1" x14ac:dyDescent="0.3">
      <c r="A10" s="13"/>
      <c r="B10" s="14">
        <v>5</v>
      </c>
      <c r="C10" s="15"/>
      <c r="D10" s="16"/>
      <c r="E10" s="15"/>
      <c r="F10" s="17"/>
      <c r="G10" s="17" t="s">
        <v>67</v>
      </c>
      <c r="H10" s="17" t="s">
        <v>67</v>
      </c>
      <c r="I10" s="26" t="s">
        <v>21</v>
      </c>
      <c r="J10" s="17"/>
      <c r="K10" s="15"/>
      <c r="L10" s="12"/>
      <c r="M10" s="12"/>
      <c r="N10" s="1"/>
      <c r="O10" s="1"/>
    </row>
    <row r="11" spans="1:15" ht="21.75" customHeight="1" x14ac:dyDescent="0.3">
      <c r="A11" s="13"/>
      <c r="B11" s="19">
        <v>6</v>
      </c>
      <c r="C11" s="20"/>
      <c r="D11" s="21"/>
      <c r="E11" s="20"/>
      <c r="F11" s="22"/>
      <c r="G11" s="22"/>
      <c r="H11" s="22"/>
      <c r="I11" s="21"/>
      <c r="J11" s="22"/>
      <c r="K11" s="20"/>
      <c r="L11" s="12"/>
      <c r="M11" s="12"/>
      <c r="N11" s="1"/>
      <c r="O11" s="1"/>
    </row>
    <row r="12" spans="1:15" ht="21.75" customHeight="1" x14ac:dyDescent="0.3">
      <c r="A12" s="13"/>
      <c r="B12" s="14">
        <v>7</v>
      </c>
      <c r="C12" s="15"/>
      <c r="D12" s="16"/>
      <c r="E12" s="15"/>
      <c r="F12" s="17"/>
      <c r="G12" s="17"/>
      <c r="H12" s="17"/>
      <c r="I12" s="16"/>
      <c r="J12" s="17"/>
      <c r="K12" s="15"/>
      <c r="L12" s="12"/>
      <c r="M12" s="12"/>
      <c r="N12" s="1"/>
      <c r="O12" s="1"/>
    </row>
    <row r="13" spans="1:15" ht="21.75" customHeight="1" x14ac:dyDescent="0.3">
      <c r="A13" s="13"/>
      <c r="B13" s="19">
        <v>8</v>
      </c>
      <c r="C13" s="20"/>
      <c r="D13" s="21"/>
      <c r="E13" s="20"/>
      <c r="F13" s="22"/>
      <c r="G13" s="22"/>
      <c r="H13" s="22"/>
      <c r="I13" s="21"/>
      <c r="J13" s="22"/>
      <c r="K13" s="20"/>
      <c r="L13" s="12"/>
      <c r="M13" s="12"/>
      <c r="N13" s="1"/>
      <c r="O13" s="1"/>
    </row>
    <row r="14" spans="1:15" ht="21.75" customHeight="1" x14ac:dyDescent="0.3">
      <c r="A14" s="13"/>
      <c r="B14" s="14">
        <v>9</v>
      </c>
      <c r="C14" s="15"/>
      <c r="D14" s="16"/>
      <c r="E14" s="15"/>
      <c r="F14" s="17"/>
      <c r="G14" s="17"/>
      <c r="H14" s="17"/>
      <c r="I14" s="16"/>
      <c r="J14" s="17"/>
      <c r="K14" s="15"/>
      <c r="L14" s="12"/>
      <c r="M14" s="12"/>
      <c r="N14" s="1"/>
      <c r="O14" s="1"/>
    </row>
    <row r="15" spans="1:15" ht="21.75" customHeight="1" x14ac:dyDescent="0.3">
      <c r="A15" s="13"/>
      <c r="B15" s="19">
        <v>10</v>
      </c>
      <c r="C15" s="20"/>
      <c r="D15" s="21"/>
      <c r="E15" s="20"/>
      <c r="F15" s="22"/>
      <c r="G15" s="22"/>
      <c r="H15" s="22"/>
      <c r="I15" s="21"/>
      <c r="J15" s="22"/>
      <c r="K15" s="20"/>
      <c r="L15" s="12"/>
      <c r="M15" s="12"/>
      <c r="N15" s="1"/>
      <c r="O15" s="1"/>
    </row>
    <row r="16" spans="1:15" ht="21.75" customHeight="1" x14ac:dyDescent="0.3">
      <c r="A16" s="13"/>
      <c r="B16" s="14">
        <v>11</v>
      </c>
      <c r="C16" s="15"/>
      <c r="D16" s="16"/>
      <c r="E16" s="15"/>
      <c r="F16" s="17"/>
      <c r="G16" s="17"/>
      <c r="H16" s="17"/>
      <c r="I16" s="16"/>
      <c r="J16" s="17"/>
      <c r="K16" s="15"/>
      <c r="L16" s="12"/>
      <c r="M16" s="12"/>
      <c r="N16" s="1"/>
      <c r="O16" s="1"/>
    </row>
    <row r="17" spans="1:15" ht="21.75" customHeight="1" x14ac:dyDescent="0.3">
      <c r="A17" s="13"/>
      <c r="B17" s="19">
        <v>12</v>
      </c>
      <c r="C17" s="20"/>
      <c r="D17" s="21"/>
      <c r="E17" s="20"/>
      <c r="F17" s="22"/>
      <c r="G17" s="22"/>
      <c r="H17" s="22"/>
      <c r="I17" s="21"/>
      <c r="J17" s="22"/>
      <c r="K17" s="20"/>
      <c r="L17" s="12"/>
      <c r="M17" s="12"/>
      <c r="N17" s="1"/>
      <c r="O17" s="1"/>
    </row>
    <row r="18" spans="1:15" ht="21.75" customHeight="1" x14ac:dyDescent="0.3">
      <c r="A18" s="13"/>
      <c r="B18" s="14">
        <v>13</v>
      </c>
      <c r="C18" s="15"/>
      <c r="D18" s="16"/>
      <c r="E18" s="15"/>
      <c r="F18" s="17"/>
      <c r="G18" s="17"/>
      <c r="H18" s="17"/>
      <c r="I18" s="16"/>
      <c r="J18" s="17"/>
      <c r="K18" s="15"/>
      <c r="L18" s="12"/>
      <c r="M18" s="12"/>
      <c r="N18" s="1"/>
      <c r="O18" s="1"/>
    </row>
    <row r="19" spans="1:15" ht="21.75" customHeight="1" x14ac:dyDescent="0.3">
      <c r="A19" s="13"/>
      <c r="B19" s="19">
        <v>14</v>
      </c>
      <c r="C19" s="20"/>
      <c r="D19" s="21"/>
      <c r="E19" s="20"/>
      <c r="F19" s="22"/>
      <c r="G19" s="22"/>
      <c r="H19" s="22"/>
      <c r="I19" s="21"/>
      <c r="J19" s="22"/>
      <c r="K19" s="20"/>
      <c r="L19" s="12"/>
      <c r="M19" s="12"/>
      <c r="N19" s="1"/>
      <c r="O19" s="1"/>
    </row>
    <row r="20" spans="1:15" ht="19.5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8"/>
      <c r="M20" s="12"/>
      <c r="N20" s="12"/>
      <c r="O20" s="12"/>
    </row>
    <row r="21" spans="1:15" ht="19.5" customHeight="1" x14ac:dyDescent="0.3">
      <c r="A21" s="27"/>
      <c r="B21" s="27"/>
      <c r="C21" s="61" t="s">
        <v>22</v>
      </c>
      <c r="D21" s="61"/>
      <c r="E21" s="61"/>
      <c r="F21" s="61"/>
      <c r="G21" s="61"/>
      <c r="H21" s="61"/>
      <c r="I21" s="61"/>
      <c r="J21" s="61"/>
      <c r="K21" s="61"/>
      <c r="L21" s="28"/>
      <c r="M21" s="12"/>
      <c r="N21" s="12"/>
      <c r="O21" s="12"/>
    </row>
    <row r="22" spans="1:15" ht="19.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  <c r="M22" s="12"/>
      <c r="N22" s="12"/>
      <c r="O22" s="12"/>
    </row>
    <row r="23" spans="1:15" ht="19.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  <c r="M23" s="12"/>
      <c r="N23" s="12"/>
      <c r="O23" s="12"/>
    </row>
    <row r="24" spans="1:15" ht="19.5" customHeight="1" x14ac:dyDescent="0.3">
      <c r="A24" s="27"/>
      <c r="B24" s="29">
        <f>+COUNT(B6:B19)</f>
        <v>14</v>
      </c>
      <c r="C24" s="61" t="s">
        <v>23</v>
      </c>
      <c r="D24" s="61"/>
      <c r="E24" s="61"/>
      <c r="F24" s="61"/>
      <c r="G24" s="61"/>
      <c r="H24" s="61"/>
      <c r="I24" s="61"/>
      <c r="J24" s="61"/>
      <c r="K24" s="61"/>
      <c r="L24" s="28"/>
      <c r="M24" s="12"/>
      <c r="N24" s="12"/>
      <c r="O24" s="12"/>
    </row>
    <row r="25" spans="1:15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2"/>
      <c r="N25" s="12"/>
      <c r="O25" s="12"/>
    </row>
    <row r="26" spans="1:15" ht="15.75" customHeight="1" x14ac:dyDescent="0.3">
      <c r="A26" s="28"/>
      <c r="B26" s="57" t="s">
        <v>24</v>
      </c>
      <c r="C26" s="57"/>
      <c r="D26" s="57"/>
      <c r="E26" s="57"/>
      <c r="F26" s="57"/>
      <c r="G26" s="57"/>
      <c r="H26" s="57"/>
      <c r="I26" s="57"/>
      <c r="J26" s="57"/>
      <c r="K26" s="57"/>
      <c r="L26" s="28"/>
      <c r="M26" s="12"/>
      <c r="N26" s="12"/>
      <c r="O26" s="12"/>
    </row>
    <row r="27" spans="1:15" ht="18" customHeight="1" x14ac:dyDescent="0.3">
      <c r="A27" s="28"/>
      <c r="B27" s="30" t="s">
        <v>13</v>
      </c>
      <c r="C27" s="31" t="s">
        <v>16</v>
      </c>
      <c r="D27" s="32" t="s">
        <v>18</v>
      </c>
      <c r="E27" s="33" t="s">
        <v>25</v>
      </c>
      <c r="F27" s="34" t="s">
        <v>26</v>
      </c>
      <c r="G27" s="35" t="s">
        <v>20</v>
      </c>
      <c r="H27" s="36" t="s">
        <v>21</v>
      </c>
      <c r="I27" s="28"/>
      <c r="J27" s="28"/>
      <c r="K27" s="28"/>
      <c r="L27" s="28"/>
      <c r="M27" s="12"/>
      <c r="N27" s="12"/>
      <c r="O27" s="12"/>
    </row>
    <row r="28" spans="1:15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2"/>
      <c r="N28" s="12"/>
      <c r="O28" s="12"/>
    </row>
    <row r="29" spans="1:15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2"/>
      <c r="N29" s="12"/>
      <c r="O29" s="12"/>
    </row>
    <row r="30" spans="1:15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2"/>
      <c r="N30" s="12"/>
      <c r="O30" s="12"/>
    </row>
    <row r="31" spans="1:15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2"/>
      <c r="N31" s="12"/>
      <c r="O31" s="12"/>
    </row>
    <row r="32" spans="1:15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2"/>
      <c r="N32" s="12"/>
      <c r="O32" s="12"/>
    </row>
    <row r="33" spans="1:15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2"/>
      <c r="N33" s="12"/>
      <c r="O33" s="12"/>
    </row>
    <row r="34" spans="1:15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2"/>
      <c r="N34" s="12"/>
      <c r="O34" s="12"/>
    </row>
    <row r="35" spans="1:15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2"/>
      <c r="N35" s="12"/>
      <c r="O35" s="12"/>
    </row>
    <row r="36" spans="1:15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2"/>
      <c r="N36" s="12"/>
      <c r="O36" s="12"/>
    </row>
    <row r="37" spans="1:15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12"/>
      <c r="N37" s="12"/>
      <c r="O37" s="12"/>
    </row>
    <row r="38" spans="1:15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12"/>
      <c r="N38" s="12"/>
      <c r="O38" s="12"/>
    </row>
    <row r="39" spans="1:15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2"/>
      <c r="N39" s="12"/>
      <c r="O39" s="12"/>
    </row>
    <row r="40" spans="1:15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12"/>
      <c r="N40" s="12"/>
      <c r="O40" s="12"/>
    </row>
    <row r="41" spans="1:15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12"/>
      <c r="N41" s="12"/>
      <c r="O41" s="12"/>
    </row>
    <row r="42" spans="1:15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2"/>
      <c r="N42" s="12"/>
      <c r="O42" s="12"/>
    </row>
    <row r="43" spans="1:15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2"/>
      <c r="N43" s="12"/>
      <c r="O43" s="12"/>
    </row>
    <row r="44" spans="1:15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12"/>
      <c r="N44" s="12"/>
      <c r="O44" s="12"/>
    </row>
    <row r="45" spans="1:15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2"/>
      <c r="N45" s="12"/>
      <c r="O45" s="12"/>
    </row>
    <row r="46" spans="1:15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2"/>
      <c r="N46" s="12"/>
      <c r="O46" s="12"/>
    </row>
    <row r="47" spans="1:15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2"/>
      <c r="N47" s="12"/>
      <c r="O47" s="12"/>
    </row>
    <row r="48" spans="1:15" x14ac:dyDescent="0.3">
      <c r="A48" s="2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12"/>
      <c r="N48" s="12"/>
      <c r="O48" s="12"/>
    </row>
    <row r="49" spans="1:15" x14ac:dyDescent="0.3">
      <c r="A49" s="2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12"/>
      <c r="N49" s="12"/>
      <c r="O49" s="12"/>
    </row>
    <row r="50" spans="1:15" x14ac:dyDescent="0.3">
      <c r="A50" s="2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12"/>
      <c r="N50" s="12"/>
      <c r="O50" s="12"/>
    </row>
    <row r="51" spans="1:15" x14ac:dyDescent="0.3">
      <c r="A51" s="2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12"/>
      <c r="N51" s="12"/>
      <c r="O51" s="12"/>
    </row>
    <row r="52" spans="1:15" x14ac:dyDescent="0.3">
      <c r="A52" s="2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12"/>
      <c r="N52" s="12"/>
      <c r="O52" s="12"/>
    </row>
    <row r="53" spans="1:15" x14ac:dyDescent="0.3">
      <c r="A53" s="2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12"/>
      <c r="N53" s="12"/>
      <c r="O53" s="12"/>
    </row>
    <row r="54" spans="1:15" x14ac:dyDescent="0.3">
      <c r="A54" s="2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12"/>
      <c r="N54" s="12"/>
      <c r="O54" s="12"/>
    </row>
    <row r="55" spans="1:15" x14ac:dyDescent="0.3">
      <c r="A55" s="2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12"/>
      <c r="N55" s="12"/>
      <c r="O55" s="12"/>
    </row>
    <row r="56" spans="1:15" x14ac:dyDescent="0.3">
      <c r="A56" s="2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2"/>
      <c r="N56" s="12"/>
      <c r="O56" s="12"/>
    </row>
    <row r="57" spans="1:15" x14ac:dyDescent="0.3">
      <c r="A57" s="2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2"/>
      <c r="N57" s="12"/>
      <c r="O57" s="12"/>
    </row>
    <row r="58" spans="1:15" x14ac:dyDescent="0.3">
      <c r="A58" s="2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2"/>
      <c r="N58" s="12"/>
      <c r="O58" s="12"/>
    </row>
    <row r="59" spans="1:15" x14ac:dyDescent="0.3">
      <c r="A59" s="28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2"/>
      <c r="N59" s="12"/>
      <c r="O59" s="12"/>
    </row>
    <row r="60" spans="1:15" x14ac:dyDescent="0.3">
      <c r="A60" s="28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2"/>
      <c r="N60" s="12"/>
      <c r="O60" s="12"/>
    </row>
    <row r="61" spans="1:15" x14ac:dyDescent="0.3">
      <c r="A61" s="28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2"/>
      <c r="N61" s="12"/>
      <c r="O61" s="12"/>
    </row>
    <row r="62" spans="1:15" x14ac:dyDescent="0.3">
      <c r="A62" s="28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2"/>
      <c r="N62" s="12"/>
      <c r="O62" s="12"/>
    </row>
    <row r="63" spans="1:15" x14ac:dyDescent="0.3">
      <c r="A63" s="28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2"/>
      <c r="N63" s="12"/>
      <c r="O63" s="12"/>
    </row>
    <row r="64" spans="1:15" x14ac:dyDescent="0.3">
      <c r="A64" s="28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2"/>
      <c r="N64" s="12"/>
      <c r="O64" s="12"/>
    </row>
    <row r="65" spans="1:15" x14ac:dyDescent="0.3">
      <c r="A65" s="2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2"/>
      <c r="N65" s="12"/>
      <c r="O65" s="12"/>
    </row>
    <row r="66" spans="1:15" x14ac:dyDescent="0.3">
      <c r="A66" s="28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2"/>
      <c r="N66" s="12"/>
      <c r="O66" s="12"/>
    </row>
    <row r="67" spans="1:15" x14ac:dyDescent="0.3">
      <c r="A67" s="28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2"/>
      <c r="N67" s="12"/>
      <c r="O67" s="12"/>
    </row>
    <row r="68" spans="1:15" x14ac:dyDescent="0.3">
      <c r="A68" s="2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2"/>
      <c r="N68" s="12"/>
      <c r="O68" s="12"/>
    </row>
    <row r="69" spans="1:15" x14ac:dyDescent="0.3">
      <c r="A69" s="2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2"/>
      <c r="N69" s="12"/>
      <c r="O69" s="12"/>
    </row>
    <row r="70" spans="1:15" x14ac:dyDescent="0.3">
      <c r="A70" s="28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2"/>
      <c r="N70" s="12"/>
      <c r="O70" s="12"/>
    </row>
    <row r="71" spans="1:15" x14ac:dyDescent="0.3">
      <c r="A71" s="28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2"/>
      <c r="N71" s="12"/>
      <c r="O71" s="12"/>
    </row>
    <row r="72" spans="1:15" x14ac:dyDescent="0.3">
      <c r="A72" s="28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2"/>
      <c r="N72" s="12"/>
      <c r="O72" s="12"/>
    </row>
    <row r="73" spans="1:15" x14ac:dyDescent="0.3">
      <c r="A73" s="2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2"/>
      <c r="N73" s="12"/>
      <c r="O73" s="12"/>
    </row>
    <row r="74" spans="1:15" x14ac:dyDescent="0.3">
      <c r="A74" s="28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2"/>
      <c r="N74" s="12"/>
      <c r="O74" s="12"/>
    </row>
    <row r="75" spans="1:15" x14ac:dyDescent="0.3">
      <c r="A75" s="28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2"/>
      <c r="N75" s="12"/>
      <c r="O75" s="12"/>
    </row>
    <row r="76" spans="1:15" x14ac:dyDescent="0.3">
      <c r="A76" s="28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2"/>
      <c r="N76" s="12"/>
      <c r="O76" s="12"/>
    </row>
    <row r="77" spans="1:15" x14ac:dyDescent="0.3">
      <c r="A77" s="2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2"/>
      <c r="N77" s="12"/>
      <c r="O77" s="12"/>
    </row>
    <row r="78" spans="1:15" x14ac:dyDescent="0.3">
      <c r="A78" s="2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2"/>
      <c r="N78" s="12"/>
      <c r="O78" s="12"/>
    </row>
    <row r="79" spans="1:15" x14ac:dyDescent="0.3">
      <c r="A79" s="28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2"/>
      <c r="N79" s="12"/>
      <c r="O79" s="12"/>
    </row>
    <row r="80" spans="1:15" x14ac:dyDescent="0.3">
      <c r="A80" s="2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2"/>
      <c r="N80" s="12"/>
      <c r="O80" s="12"/>
    </row>
    <row r="81" spans="1:15" x14ac:dyDescent="0.3">
      <c r="A81" s="28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2"/>
      <c r="N81" s="12"/>
      <c r="O81" s="12"/>
    </row>
    <row r="82" spans="1:15" x14ac:dyDescent="0.3">
      <c r="A82" s="28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2"/>
      <c r="N82" s="12"/>
      <c r="O82" s="12"/>
    </row>
    <row r="83" spans="1:15" x14ac:dyDescent="0.3">
      <c r="A83" s="2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12"/>
      <c r="N83" s="12"/>
      <c r="O83" s="12"/>
    </row>
    <row r="84" spans="1:15" x14ac:dyDescent="0.3">
      <c r="A84" s="28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12"/>
      <c r="N84" s="12"/>
      <c r="O84" s="12"/>
    </row>
    <row r="85" spans="1:15" x14ac:dyDescent="0.3">
      <c r="A85" s="28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12"/>
      <c r="N85" s="12"/>
      <c r="O85" s="12"/>
    </row>
    <row r="86" spans="1:15" x14ac:dyDescent="0.3">
      <c r="A86" s="2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12"/>
      <c r="N86" s="12"/>
      <c r="O86" s="12"/>
    </row>
    <row r="87" spans="1:15" x14ac:dyDescent="0.3">
      <c r="A87" s="2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12"/>
      <c r="N87" s="12"/>
      <c r="O87" s="12"/>
    </row>
    <row r="88" spans="1:15" x14ac:dyDescent="0.3">
      <c r="A88" s="2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12"/>
      <c r="N88" s="12"/>
      <c r="O88" s="12"/>
    </row>
    <row r="89" spans="1:15" x14ac:dyDescent="0.3">
      <c r="A89" s="2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12"/>
      <c r="N89" s="12"/>
      <c r="O89" s="12"/>
    </row>
    <row r="90" spans="1:15" x14ac:dyDescent="0.3">
      <c r="A90" s="2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12"/>
      <c r="N90" s="12"/>
      <c r="O90" s="12"/>
    </row>
    <row r="91" spans="1:15" x14ac:dyDescent="0.3">
      <c r="A91" s="2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12"/>
      <c r="N91" s="12"/>
      <c r="O91" s="12"/>
    </row>
    <row r="92" spans="1:15" x14ac:dyDescent="0.3">
      <c r="A92" s="2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12"/>
      <c r="N92" s="12"/>
      <c r="O92" s="12"/>
    </row>
    <row r="93" spans="1:15" x14ac:dyDescent="0.3">
      <c r="A93" s="2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12"/>
      <c r="N93" s="12"/>
      <c r="O93" s="12"/>
    </row>
    <row r="94" spans="1:15" x14ac:dyDescent="0.3">
      <c r="A94" s="2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12"/>
      <c r="N94" s="12"/>
      <c r="O94" s="12"/>
    </row>
    <row r="95" spans="1:15" x14ac:dyDescent="0.3">
      <c r="A95" s="2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12"/>
      <c r="N95" s="12"/>
      <c r="O95" s="12"/>
    </row>
    <row r="96" spans="1:15" x14ac:dyDescent="0.3">
      <c r="A96" s="2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12"/>
      <c r="N96" s="12"/>
      <c r="O96" s="12"/>
    </row>
    <row r="97" spans="1:15" x14ac:dyDescent="0.3">
      <c r="A97" s="28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12"/>
      <c r="N97" s="12"/>
      <c r="O97" s="12"/>
    </row>
    <row r="98" spans="1:15" x14ac:dyDescent="0.3">
      <c r="A98" s="28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12"/>
      <c r="N98" s="12"/>
      <c r="O98" s="12"/>
    </row>
    <row r="99" spans="1:15" x14ac:dyDescent="0.3">
      <c r="A99" s="28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12"/>
      <c r="N99" s="12"/>
      <c r="O99" s="12"/>
    </row>
    <row r="100" spans="1:15" x14ac:dyDescent="0.3">
      <c r="A100" s="28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12"/>
      <c r="N100" s="12"/>
      <c r="O100" s="12"/>
    </row>
    <row r="101" spans="1:15" x14ac:dyDescent="0.3">
      <c r="A101" s="28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12"/>
      <c r="N101" s="12"/>
      <c r="O101" s="12"/>
    </row>
    <row r="102" spans="1:15" x14ac:dyDescent="0.3">
      <c r="A102" s="28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12"/>
      <c r="N102" s="12"/>
      <c r="O102" s="12"/>
    </row>
    <row r="103" spans="1:15" x14ac:dyDescent="0.3">
      <c r="A103" s="28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12"/>
      <c r="N103" s="12"/>
      <c r="O103" s="12"/>
    </row>
    <row r="104" spans="1:15" x14ac:dyDescent="0.3">
      <c r="A104" s="28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12"/>
      <c r="N104" s="12"/>
      <c r="O104" s="12"/>
    </row>
    <row r="105" spans="1:15" x14ac:dyDescent="0.3">
      <c r="A105" s="28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12"/>
      <c r="N105" s="12"/>
      <c r="O105" s="12"/>
    </row>
    <row r="106" spans="1:15" x14ac:dyDescent="0.3">
      <c r="A106" s="2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12"/>
      <c r="N106" s="12"/>
      <c r="O106" s="12"/>
    </row>
    <row r="107" spans="1:15" x14ac:dyDescent="0.3">
      <c r="A107" s="28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12"/>
      <c r="N107" s="12"/>
      <c r="O107" s="12"/>
    </row>
    <row r="108" spans="1:15" x14ac:dyDescent="0.3">
      <c r="A108" s="2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12"/>
      <c r="N108" s="12"/>
      <c r="O108" s="12"/>
    </row>
    <row r="109" spans="1:15" x14ac:dyDescent="0.3">
      <c r="A109" s="28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12"/>
      <c r="N109" s="12"/>
      <c r="O109" s="12"/>
    </row>
    <row r="110" spans="1:15" x14ac:dyDescent="0.3">
      <c r="A110" s="28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12"/>
      <c r="N110" s="12"/>
      <c r="O110" s="12"/>
    </row>
    <row r="111" spans="1:15" x14ac:dyDescent="0.3">
      <c r="A111" s="28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12"/>
      <c r="N111" s="12"/>
      <c r="O111" s="12"/>
    </row>
    <row r="112" spans="1:15" x14ac:dyDescent="0.3">
      <c r="A112" s="28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12"/>
      <c r="N112" s="12"/>
      <c r="O112" s="12"/>
    </row>
    <row r="113" spans="1:15" x14ac:dyDescent="0.3">
      <c r="A113" s="28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12"/>
      <c r="N113" s="12"/>
      <c r="O113" s="12"/>
    </row>
    <row r="114" spans="1:15" x14ac:dyDescent="0.3">
      <c r="A114" s="28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12"/>
      <c r="N114" s="12"/>
      <c r="O114" s="12"/>
    </row>
    <row r="115" spans="1:15" x14ac:dyDescent="0.3">
      <c r="A115" s="28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12"/>
      <c r="N115" s="12"/>
      <c r="O115" s="12"/>
    </row>
    <row r="116" spans="1:15" x14ac:dyDescent="0.3">
      <c r="A116" s="28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12"/>
      <c r="N116" s="12"/>
      <c r="O116" s="12"/>
    </row>
    <row r="117" spans="1:15" x14ac:dyDescent="0.3">
      <c r="A117" s="28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12"/>
      <c r="N117" s="12"/>
      <c r="O117" s="12"/>
    </row>
    <row r="118" spans="1:15" x14ac:dyDescent="0.3">
      <c r="A118" s="2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12"/>
      <c r="N118" s="12"/>
      <c r="O118" s="12"/>
    </row>
    <row r="119" spans="1:15" x14ac:dyDescent="0.3">
      <c r="A119" s="28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12"/>
      <c r="N119" s="12"/>
      <c r="O119" s="12"/>
    </row>
    <row r="120" spans="1:15" x14ac:dyDescent="0.3">
      <c r="A120" s="28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12"/>
      <c r="N120" s="12"/>
      <c r="O120" s="12"/>
    </row>
    <row r="121" spans="1:15" x14ac:dyDescent="0.3">
      <c r="A121" s="2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12"/>
      <c r="N121" s="12"/>
      <c r="O121" s="12"/>
    </row>
    <row r="122" spans="1:15" x14ac:dyDescent="0.3">
      <c r="A122" s="2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12"/>
      <c r="N122" s="12"/>
      <c r="O122" s="12"/>
    </row>
    <row r="123" spans="1:15" x14ac:dyDescent="0.3">
      <c r="A123" s="28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12"/>
      <c r="N123" s="12"/>
      <c r="O123" s="12"/>
    </row>
    <row r="124" spans="1:15" x14ac:dyDescent="0.3">
      <c r="A124" s="28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12"/>
      <c r="N124" s="12"/>
      <c r="O124" s="12"/>
    </row>
    <row r="125" spans="1:15" x14ac:dyDescent="0.3">
      <c r="A125" s="28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12"/>
      <c r="N125" s="12"/>
      <c r="O125" s="12"/>
    </row>
    <row r="126" spans="1:15" x14ac:dyDescent="0.3">
      <c r="A126" s="28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12"/>
      <c r="N126" s="12"/>
      <c r="O126" s="12"/>
    </row>
    <row r="127" spans="1:15" x14ac:dyDescent="0.3">
      <c r="A127" s="28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12"/>
      <c r="N127" s="12"/>
      <c r="O127" s="12"/>
    </row>
    <row r="128" spans="1:15" x14ac:dyDescent="0.3">
      <c r="A128" s="2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12"/>
      <c r="N128" s="12"/>
      <c r="O128" s="12"/>
    </row>
    <row r="129" spans="1:15" x14ac:dyDescent="0.3">
      <c r="A129" s="2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12"/>
      <c r="N129" s="12"/>
      <c r="O129" s="12"/>
    </row>
    <row r="130" spans="1:15" x14ac:dyDescent="0.3">
      <c r="A130" s="28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12"/>
      <c r="N130" s="12"/>
      <c r="O130" s="12"/>
    </row>
    <row r="131" spans="1:15" x14ac:dyDescent="0.3">
      <c r="A131" s="28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12"/>
      <c r="N131" s="12"/>
      <c r="O131" s="12"/>
    </row>
    <row r="132" spans="1:15" x14ac:dyDescent="0.3">
      <c r="A132" s="28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12"/>
      <c r="N132" s="12"/>
      <c r="O132" s="12"/>
    </row>
    <row r="133" spans="1:15" x14ac:dyDescent="0.3">
      <c r="A133" s="28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12"/>
      <c r="N133" s="12"/>
      <c r="O133" s="12"/>
    </row>
    <row r="134" spans="1:15" x14ac:dyDescent="0.3">
      <c r="A134" s="28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12"/>
      <c r="N134" s="12"/>
      <c r="O134" s="12"/>
    </row>
    <row r="135" spans="1:15" x14ac:dyDescent="0.3">
      <c r="A135" s="28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12"/>
      <c r="N135" s="12"/>
      <c r="O135" s="12"/>
    </row>
    <row r="136" spans="1:15" x14ac:dyDescent="0.3">
      <c r="A136" s="28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12"/>
      <c r="N136" s="12"/>
      <c r="O136" s="12"/>
    </row>
    <row r="137" spans="1:15" x14ac:dyDescent="0.3">
      <c r="A137" s="28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12"/>
      <c r="N137" s="12"/>
      <c r="O137" s="12"/>
    </row>
    <row r="138" spans="1:15" x14ac:dyDescent="0.3">
      <c r="A138" s="2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12"/>
      <c r="N138" s="12"/>
      <c r="O138" s="12"/>
    </row>
    <row r="139" spans="1:15" x14ac:dyDescent="0.3">
      <c r="A139" s="28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12"/>
      <c r="N139" s="12"/>
      <c r="O139" s="12"/>
    </row>
    <row r="140" spans="1:15" x14ac:dyDescent="0.3">
      <c r="A140" s="28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12"/>
      <c r="N140" s="12"/>
      <c r="O140" s="12"/>
    </row>
    <row r="141" spans="1:15" x14ac:dyDescent="0.3">
      <c r="A141" s="28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12"/>
      <c r="N141" s="12"/>
      <c r="O141" s="12"/>
    </row>
    <row r="142" spans="1:15" x14ac:dyDescent="0.3">
      <c r="A142" s="28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12"/>
      <c r="N142" s="12"/>
      <c r="O142" s="12"/>
    </row>
    <row r="143" spans="1:15" x14ac:dyDescent="0.3">
      <c r="A143" s="28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12"/>
      <c r="N143" s="12"/>
      <c r="O143" s="12"/>
    </row>
    <row r="144" spans="1:15" x14ac:dyDescent="0.3">
      <c r="A144" s="28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12"/>
      <c r="N144" s="12"/>
      <c r="O144" s="12"/>
    </row>
    <row r="145" spans="1:15" x14ac:dyDescent="0.3">
      <c r="A145" s="28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12"/>
      <c r="N145" s="12"/>
      <c r="O145" s="12"/>
    </row>
    <row r="146" spans="1:15" x14ac:dyDescent="0.3">
      <c r="A146" s="28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12"/>
      <c r="N146" s="12"/>
      <c r="O146" s="12"/>
    </row>
    <row r="147" spans="1:15" x14ac:dyDescent="0.3">
      <c r="A147" s="28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12"/>
      <c r="N147" s="12"/>
      <c r="O147" s="12"/>
    </row>
    <row r="148" spans="1:15" x14ac:dyDescent="0.3">
      <c r="A148" s="2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12"/>
      <c r="N148" s="12"/>
      <c r="O148" s="12"/>
    </row>
    <row r="149" spans="1:15" x14ac:dyDescent="0.3">
      <c r="A149" s="28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12"/>
      <c r="N149" s="12"/>
      <c r="O149" s="12"/>
    </row>
    <row r="150" spans="1:15" x14ac:dyDescent="0.3">
      <c r="A150" s="28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12"/>
      <c r="N150" s="12"/>
      <c r="O150" s="12"/>
    </row>
    <row r="151" spans="1:15" x14ac:dyDescent="0.3">
      <c r="A151" s="28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12"/>
      <c r="N151" s="12"/>
      <c r="O151" s="12"/>
    </row>
    <row r="152" spans="1:15" x14ac:dyDescent="0.3">
      <c r="A152" s="28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12"/>
      <c r="N152" s="12"/>
      <c r="O152" s="12"/>
    </row>
    <row r="153" spans="1:15" x14ac:dyDescent="0.3">
      <c r="A153" s="28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12"/>
      <c r="N153" s="12"/>
      <c r="O153" s="12"/>
    </row>
    <row r="154" spans="1:15" x14ac:dyDescent="0.3">
      <c r="A154" s="28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12"/>
      <c r="N154" s="12"/>
      <c r="O154" s="12"/>
    </row>
    <row r="155" spans="1:15" x14ac:dyDescent="0.3">
      <c r="A155" s="28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12"/>
      <c r="N155" s="12"/>
      <c r="O155" s="12"/>
    </row>
    <row r="156" spans="1:15" x14ac:dyDescent="0.3">
      <c r="A156" s="28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12"/>
      <c r="N156" s="12"/>
      <c r="O156" s="12"/>
    </row>
    <row r="157" spans="1:15" x14ac:dyDescent="0.3">
      <c r="A157" s="28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12"/>
      <c r="N157" s="12"/>
      <c r="O157" s="12"/>
    </row>
    <row r="158" spans="1:15" x14ac:dyDescent="0.3">
      <c r="A158" s="2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12"/>
      <c r="N158" s="12"/>
      <c r="O158" s="12"/>
    </row>
    <row r="159" spans="1:15" x14ac:dyDescent="0.3">
      <c r="A159" s="28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12"/>
      <c r="N159" s="12"/>
      <c r="O159" s="12"/>
    </row>
    <row r="160" spans="1:15" x14ac:dyDescent="0.3">
      <c r="A160" s="28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12"/>
      <c r="N160" s="12"/>
      <c r="O160" s="12"/>
    </row>
    <row r="161" spans="1:15" x14ac:dyDescent="0.3">
      <c r="A161" s="28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12"/>
      <c r="N161" s="12"/>
      <c r="O161" s="12"/>
    </row>
    <row r="162" spans="1:15" x14ac:dyDescent="0.3">
      <c r="A162" s="28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12"/>
      <c r="N162" s="12"/>
      <c r="O162" s="12"/>
    </row>
    <row r="163" spans="1:15" x14ac:dyDescent="0.3">
      <c r="A163" s="28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12"/>
      <c r="N163" s="12"/>
      <c r="O163" s="12"/>
    </row>
    <row r="164" spans="1:15" x14ac:dyDescent="0.3">
      <c r="A164" s="28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12"/>
      <c r="N164" s="12"/>
      <c r="O164" s="12"/>
    </row>
    <row r="165" spans="1:15" x14ac:dyDescent="0.3">
      <c r="A165" s="28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12"/>
      <c r="N165" s="12"/>
      <c r="O165" s="12"/>
    </row>
    <row r="166" spans="1:15" x14ac:dyDescent="0.3">
      <c r="A166" s="28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12"/>
      <c r="N166" s="12"/>
      <c r="O166" s="12"/>
    </row>
    <row r="167" spans="1:15" x14ac:dyDescent="0.3">
      <c r="A167" s="28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12"/>
      <c r="N167" s="12"/>
      <c r="O167" s="12"/>
    </row>
    <row r="168" spans="1:15" x14ac:dyDescent="0.3">
      <c r="A168" s="2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12"/>
      <c r="N168" s="12"/>
      <c r="O168" s="12"/>
    </row>
    <row r="169" spans="1:15" x14ac:dyDescent="0.3">
      <c r="A169" s="28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12"/>
      <c r="N169" s="12"/>
      <c r="O169" s="12"/>
    </row>
    <row r="170" spans="1:15" x14ac:dyDescent="0.3">
      <c r="A170" s="28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12"/>
      <c r="N170" s="12"/>
      <c r="O170" s="12"/>
    </row>
    <row r="171" spans="1:15" x14ac:dyDescent="0.3">
      <c r="A171" s="28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12"/>
      <c r="N171" s="12"/>
      <c r="O171" s="12"/>
    </row>
    <row r="172" spans="1:15" x14ac:dyDescent="0.3">
      <c r="A172" s="28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12"/>
      <c r="N172" s="12"/>
      <c r="O172" s="12"/>
    </row>
    <row r="173" spans="1:15" x14ac:dyDescent="0.3">
      <c r="A173" s="28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12"/>
      <c r="N173" s="12"/>
      <c r="O173" s="12"/>
    </row>
    <row r="174" spans="1:15" x14ac:dyDescent="0.3">
      <c r="A174" s="28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12"/>
      <c r="N174" s="12"/>
      <c r="O174" s="12"/>
    </row>
    <row r="175" spans="1:15" x14ac:dyDescent="0.3">
      <c r="A175" s="28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12"/>
      <c r="N175" s="12"/>
      <c r="O175" s="12"/>
    </row>
    <row r="176" spans="1:15" x14ac:dyDescent="0.3">
      <c r="A176" s="28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12"/>
      <c r="N176" s="12"/>
      <c r="O176" s="12"/>
    </row>
    <row r="177" spans="1:15" x14ac:dyDescent="0.3">
      <c r="A177" s="28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12"/>
      <c r="N177" s="12"/>
      <c r="O177" s="12"/>
    </row>
    <row r="178" spans="1:15" x14ac:dyDescent="0.3">
      <c r="A178" s="2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12"/>
      <c r="N178" s="12"/>
      <c r="O178" s="12"/>
    </row>
    <row r="179" spans="1:15" x14ac:dyDescent="0.3">
      <c r="A179" s="28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12"/>
      <c r="N179" s="12"/>
      <c r="O179" s="12"/>
    </row>
    <row r="180" spans="1:15" x14ac:dyDescent="0.3">
      <c r="A180" s="28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12"/>
      <c r="N180" s="12"/>
      <c r="O180" s="12"/>
    </row>
    <row r="181" spans="1:15" x14ac:dyDescent="0.3">
      <c r="A181" s="28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12"/>
      <c r="N181" s="12"/>
      <c r="O181" s="12"/>
    </row>
    <row r="182" spans="1:15" x14ac:dyDescent="0.3">
      <c r="A182" s="28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12"/>
      <c r="N182" s="12"/>
      <c r="O182" s="12"/>
    </row>
    <row r="183" spans="1:15" x14ac:dyDescent="0.3">
      <c r="A183" s="28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12"/>
      <c r="N183" s="12"/>
      <c r="O183" s="12"/>
    </row>
    <row r="184" spans="1:15" x14ac:dyDescent="0.3">
      <c r="A184" s="28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12"/>
      <c r="N184" s="12"/>
      <c r="O184" s="12"/>
    </row>
    <row r="185" spans="1:15" x14ac:dyDescent="0.3">
      <c r="A185" s="28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12"/>
      <c r="N185" s="12"/>
      <c r="O185" s="12"/>
    </row>
    <row r="186" spans="1:15" x14ac:dyDescent="0.3">
      <c r="A186" s="28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12"/>
      <c r="N186" s="12"/>
      <c r="O186" s="12"/>
    </row>
    <row r="187" spans="1:15" x14ac:dyDescent="0.3">
      <c r="A187" s="28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12"/>
      <c r="N187" s="12"/>
      <c r="O187" s="12"/>
    </row>
    <row r="188" spans="1:15" x14ac:dyDescent="0.3">
      <c r="A188" s="2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12"/>
      <c r="N188" s="12"/>
      <c r="O188" s="12"/>
    </row>
    <row r="189" spans="1:15" x14ac:dyDescent="0.3">
      <c r="A189" s="28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12"/>
      <c r="N189" s="12"/>
      <c r="O189" s="12"/>
    </row>
    <row r="190" spans="1:15" x14ac:dyDescent="0.3">
      <c r="A190" s="28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12"/>
      <c r="N190" s="12"/>
      <c r="O190" s="12"/>
    </row>
    <row r="191" spans="1:15" x14ac:dyDescent="0.3">
      <c r="A191" s="28"/>
      <c r="B191" s="37">
        <f>+COUNTA(C6:C91)</f>
        <v>3</v>
      </c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12"/>
      <c r="N191" s="12"/>
      <c r="O191" s="12"/>
    </row>
    <row r="192" spans="1:15" x14ac:dyDescent="0.3">
      <c r="A192" s="28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12"/>
      <c r="N192" s="12"/>
      <c r="O192" s="12"/>
    </row>
    <row r="193" spans="1:15" x14ac:dyDescent="0.3">
      <c r="A193" s="28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12"/>
      <c r="N193" s="12"/>
      <c r="O193" s="12"/>
    </row>
    <row r="194" spans="1:15" x14ac:dyDescent="0.3">
      <c r="A194" s="28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12"/>
      <c r="N194" s="12"/>
      <c r="O194" s="12"/>
    </row>
    <row r="195" spans="1:15" x14ac:dyDescent="0.3">
      <c r="A195" s="28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12"/>
      <c r="N195" s="12"/>
      <c r="O195" s="12"/>
    </row>
    <row r="196" spans="1:15" x14ac:dyDescent="0.3">
      <c r="A196" s="28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12"/>
      <c r="N196" s="12"/>
      <c r="O196" s="12"/>
    </row>
    <row r="197" spans="1:15" x14ac:dyDescent="0.3">
      <c r="A197" s="28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12"/>
      <c r="N197" s="12"/>
      <c r="O197" s="12"/>
    </row>
    <row r="198" spans="1:15" x14ac:dyDescent="0.3">
      <c r="A198" s="2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12"/>
      <c r="N198" s="12"/>
      <c r="O198" s="12"/>
    </row>
    <row r="199" spans="1:15" x14ac:dyDescent="0.3">
      <c r="A199" s="28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12"/>
      <c r="N199" s="12"/>
      <c r="O199" s="12"/>
    </row>
    <row r="200" spans="1:15" x14ac:dyDescent="0.3">
      <c r="A200" s="28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12"/>
      <c r="N200" s="12"/>
      <c r="O200" s="12"/>
    </row>
    <row r="201" spans="1:15" x14ac:dyDescent="0.3">
      <c r="A201" s="28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12"/>
      <c r="N201" s="12"/>
      <c r="O201" s="12"/>
    </row>
    <row r="202" spans="1:15" x14ac:dyDescent="0.3">
      <c r="A202" s="28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12"/>
      <c r="N202" s="12"/>
      <c r="O202" s="12"/>
    </row>
    <row r="203" spans="1:15" x14ac:dyDescent="0.3">
      <c r="A203" s="28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12"/>
      <c r="N203" s="12"/>
      <c r="O203" s="12"/>
    </row>
    <row r="204" spans="1:15" x14ac:dyDescent="0.3">
      <c r="A204" s="28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12"/>
      <c r="N204" s="12"/>
      <c r="O204" s="12"/>
    </row>
    <row r="205" spans="1:15" x14ac:dyDescent="0.3">
      <c r="A205" s="28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12"/>
      <c r="N205" s="12"/>
      <c r="O205" s="12"/>
    </row>
    <row r="206" spans="1:15" x14ac:dyDescent="0.3">
      <c r="A206" s="28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12"/>
      <c r="N206" s="12"/>
      <c r="O206" s="12"/>
    </row>
    <row r="207" spans="1:15" x14ac:dyDescent="0.3">
      <c r="A207" s="28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12"/>
      <c r="N207" s="12"/>
      <c r="O207" s="12"/>
    </row>
    <row r="208" spans="1:15" x14ac:dyDescent="0.3">
      <c r="A208" s="2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12"/>
      <c r="N208" s="12"/>
      <c r="O208" s="12"/>
    </row>
    <row r="209" spans="1:15" x14ac:dyDescent="0.3">
      <c r="A209" s="28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12"/>
      <c r="N209" s="12"/>
      <c r="O209" s="12"/>
    </row>
    <row r="210" spans="1:15" x14ac:dyDescent="0.3">
      <c r="A210" s="28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12"/>
      <c r="N210" s="12"/>
      <c r="O210" s="12"/>
    </row>
    <row r="211" spans="1:15" x14ac:dyDescent="0.3">
      <c r="A211" s="28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12"/>
      <c r="N211" s="12"/>
      <c r="O211" s="12"/>
    </row>
    <row r="212" spans="1:15" x14ac:dyDescent="0.3">
      <c r="A212" s="28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12"/>
      <c r="N212" s="12"/>
      <c r="O212" s="12"/>
    </row>
    <row r="213" spans="1:15" x14ac:dyDescent="0.3">
      <c r="A213" s="28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12"/>
      <c r="N213" s="12"/>
      <c r="O213" s="12"/>
    </row>
    <row r="214" spans="1:15" x14ac:dyDescent="0.3">
      <c r="A214" s="28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12"/>
      <c r="N214" s="12"/>
      <c r="O214" s="12"/>
    </row>
    <row r="215" spans="1:15" x14ac:dyDescent="0.3">
      <c r="A215" s="28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12"/>
      <c r="N215" s="12"/>
      <c r="O215" s="12"/>
    </row>
    <row r="216" spans="1:15" x14ac:dyDescent="0.3">
      <c r="A216" s="28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12"/>
      <c r="N216" s="12"/>
      <c r="O216" s="12"/>
    </row>
    <row r="217" spans="1:15" x14ac:dyDescent="0.3">
      <c r="A217" s="28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12"/>
      <c r="N217" s="12"/>
      <c r="O217" s="12"/>
    </row>
    <row r="218" spans="1:15" x14ac:dyDescent="0.3">
      <c r="A218" s="2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12"/>
      <c r="N218" s="12"/>
      <c r="O218" s="12"/>
    </row>
    <row r="219" spans="1:15" x14ac:dyDescent="0.3">
      <c r="A219" s="28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12"/>
      <c r="N219" s="12"/>
      <c r="O219" s="12"/>
    </row>
    <row r="220" spans="1:15" x14ac:dyDescent="0.3">
      <c r="A220" s="28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12"/>
      <c r="N220" s="12"/>
      <c r="O220" s="12"/>
    </row>
    <row r="221" spans="1:15" x14ac:dyDescent="0.3">
      <c r="A221" s="2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12"/>
      <c r="N221" s="12"/>
      <c r="O221" s="12"/>
    </row>
    <row r="222" spans="1:15" x14ac:dyDescent="0.3">
      <c r="A222" s="2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12"/>
      <c r="N222" s="12"/>
      <c r="O222" s="12"/>
    </row>
    <row r="223" spans="1:15" x14ac:dyDescent="0.3">
      <c r="A223" s="2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12"/>
      <c r="N223" s="12"/>
      <c r="O223" s="12"/>
    </row>
    <row r="224" spans="1:15" x14ac:dyDescent="0.3">
      <c r="A224" s="2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12"/>
      <c r="N224" s="12"/>
      <c r="O224" s="12"/>
    </row>
    <row r="225" spans="1:15" x14ac:dyDescent="0.3">
      <c r="A225" s="2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12"/>
      <c r="N225" s="12"/>
      <c r="O225" s="12"/>
    </row>
    <row r="226" spans="1:15" x14ac:dyDescent="0.3">
      <c r="A226" s="2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12"/>
      <c r="N226" s="12"/>
      <c r="O226" s="12"/>
    </row>
    <row r="227" spans="1:15" x14ac:dyDescent="0.3">
      <c r="A227" s="2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12"/>
      <c r="N227" s="12"/>
      <c r="O227" s="12"/>
    </row>
    <row r="228" spans="1:15" x14ac:dyDescent="0.3">
      <c r="A228" s="2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12"/>
      <c r="N228" s="12"/>
      <c r="O228" s="12"/>
    </row>
    <row r="229" spans="1:15" x14ac:dyDescent="0.3">
      <c r="A229" s="2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12"/>
      <c r="N229" s="12"/>
      <c r="O229" s="12"/>
    </row>
    <row r="230" spans="1:15" x14ac:dyDescent="0.3">
      <c r="A230" s="2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12"/>
      <c r="N230" s="12"/>
      <c r="O230" s="12"/>
    </row>
    <row r="231" spans="1:15" x14ac:dyDescent="0.3">
      <c r="A231" s="2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12"/>
      <c r="N231" s="12"/>
      <c r="O231" s="12"/>
    </row>
    <row r="232" spans="1:15" x14ac:dyDescent="0.3">
      <c r="A232" s="2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12"/>
      <c r="N232" s="12"/>
      <c r="O232" s="12"/>
    </row>
    <row r="233" spans="1:15" x14ac:dyDescent="0.3">
      <c r="A233" s="2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12"/>
      <c r="N233" s="12"/>
      <c r="O233" s="12"/>
    </row>
    <row r="234" spans="1:15" x14ac:dyDescent="0.3">
      <c r="A234" s="2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12"/>
      <c r="N234" s="12"/>
      <c r="O234" s="12"/>
    </row>
    <row r="235" spans="1:15" x14ac:dyDescent="0.3">
      <c r="A235" s="2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12"/>
      <c r="N235" s="12"/>
      <c r="O235" s="12"/>
    </row>
    <row r="236" spans="1:15" x14ac:dyDescent="0.3">
      <c r="A236" s="2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12"/>
      <c r="N236" s="12"/>
      <c r="O236" s="12"/>
    </row>
    <row r="237" spans="1:15" x14ac:dyDescent="0.3">
      <c r="A237" s="2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12"/>
      <c r="N237" s="12"/>
      <c r="O237" s="12"/>
    </row>
    <row r="238" spans="1:15" x14ac:dyDescent="0.3">
      <c r="A238" s="2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12"/>
      <c r="N238" s="12"/>
      <c r="O238" s="12"/>
    </row>
    <row r="239" spans="1:15" x14ac:dyDescent="0.3">
      <c r="A239" s="2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12"/>
      <c r="N239" s="12"/>
      <c r="O239" s="12"/>
    </row>
    <row r="240" spans="1:15" x14ac:dyDescent="0.3">
      <c r="A240" s="2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12"/>
      <c r="N240" s="12"/>
      <c r="O240" s="12"/>
    </row>
    <row r="241" spans="1:15" x14ac:dyDescent="0.3">
      <c r="A241" s="2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12"/>
      <c r="N241" s="12"/>
      <c r="O241" s="12"/>
    </row>
    <row r="242" spans="1:15" x14ac:dyDescent="0.3">
      <c r="A242" s="2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12"/>
      <c r="N242" s="12"/>
      <c r="O242" s="12"/>
    </row>
    <row r="243" spans="1:15" x14ac:dyDescent="0.3">
      <c r="A243" s="2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12"/>
      <c r="N243" s="12"/>
      <c r="O243" s="12"/>
    </row>
    <row r="244" spans="1:15" x14ac:dyDescent="0.3">
      <c r="A244" s="2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12"/>
      <c r="N244" s="12"/>
      <c r="O244" s="12"/>
    </row>
    <row r="245" spans="1:15" x14ac:dyDescent="0.3">
      <c r="A245" s="2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12"/>
      <c r="N245" s="12"/>
      <c r="O245" s="12"/>
    </row>
    <row r="246" spans="1:15" x14ac:dyDescent="0.3">
      <c r="A246" s="2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12"/>
      <c r="N246" s="12"/>
      <c r="O246" s="12"/>
    </row>
    <row r="247" spans="1:15" x14ac:dyDescent="0.3">
      <c r="A247" s="2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12"/>
      <c r="N247" s="12"/>
      <c r="O247" s="12"/>
    </row>
    <row r="248" spans="1:15" x14ac:dyDescent="0.3">
      <c r="A248" s="2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12"/>
      <c r="N248" s="12"/>
      <c r="O248" s="12"/>
    </row>
    <row r="249" spans="1:15" x14ac:dyDescent="0.3">
      <c r="A249" s="2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12"/>
      <c r="N249" s="12"/>
      <c r="O249" s="12"/>
    </row>
    <row r="250" spans="1:15" x14ac:dyDescent="0.3">
      <c r="A250" s="2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12"/>
      <c r="N250" s="12"/>
      <c r="O250" s="12"/>
    </row>
    <row r="251" spans="1:15" x14ac:dyDescent="0.3">
      <c r="A251" s="2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12"/>
      <c r="N251" s="12"/>
      <c r="O251" s="12"/>
    </row>
    <row r="252" spans="1:15" x14ac:dyDescent="0.3">
      <c r="A252" s="2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12"/>
      <c r="N252" s="12"/>
      <c r="O252" s="12"/>
    </row>
    <row r="253" spans="1:15" x14ac:dyDescent="0.3">
      <c r="A253" s="2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12"/>
      <c r="N253" s="12"/>
      <c r="O253" s="12"/>
    </row>
    <row r="254" spans="1:15" x14ac:dyDescent="0.3">
      <c r="A254" s="2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12"/>
      <c r="N254" s="12"/>
      <c r="O254" s="12"/>
    </row>
    <row r="255" spans="1:15" x14ac:dyDescent="0.3">
      <c r="A255" s="2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12"/>
      <c r="N255" s="12"/>
      <c r="O255" s="12"/>
    </row>
    <row r="256" spans="1:15" x14ac:dyDescent="0.3">
      <c r="A256" s="2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12"/>
      <c r="N256" s="12"/>
      <c r="O256" s="12"/>
    </row>
    <row r="257" spans="1:15" x14ac:dyDescent="0.3">
      <c r="A257" s="2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12"/>
      <c r="N257" s="12"/>
      <c r="O257" s="12"/>
    </row>
    <row r="258" spans="1:15" x14ac:dyDescent="0.3">
      <c r="A258" s="2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12"/>
      <c r="N258" s="12"/>
      <c r="O258" s="12"/>
    </row>
    <row r="259" spans="1:15" x14ac:dyDescent="0.3">
      <c r="A259" s="2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12"/>
      <c r="N259" s="12"/>
      <c r="O259" s="12"/>
    </row>
    <row r="260" spans="1:15" x14ac:dyDescent="0.3">
      <c r="A260" s="2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12"/>
      <c r="N260" s="12"/>
      <c r="O260" s="12"/>
    </row>
    <row r="261" spans="1:15" x14ac:dyDescent="0.3">
      <c r="A261" s="2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12"/>
      <c r="N261" s="12"/>
      <c r="O261" s="12"/>
    </row>
    <row r="262" spans="1:15" x14ac:dyDescent="0.3">
      <c r="A262" s="2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12"/>
      <c r="N262" s="12"/>
      <c r="O262" s="12"/>
    </row>
    <row r="263" spans="1:15" x14ac:dyDescent="0.3">
      <c r="A263" s="2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12"/>
      <c r="N263" s="12"/>
      <c r="O263" s="12"/>
    </row>
    <row r="264" spans="1:15" x14ac:dyDescent="0.3">
      <c r="A264" s="2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12"/>
      <c r="N264" s="12"/>
      <c r="O264" s="12"/>
    </row>
    <row r="265" spans="1:15" x14ac:dyDescent="0.3">
      <c r="A265" s="2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12"/>
      <c r="N265" s="12"/>
      <c r="O265" s="12"/>
    </row>
    <row r="266" spans="1:15" x14ac:dyDescent="0.3">
      <c r="A266" s="2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12"/>
      <c r="N266" s="12"/>
      <c r="O266" s="12"/>
    </row>
    <row r="267" spans="1:15" x14ac:dyDescent="0.3">
      <c r="A267" s="2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12"/>
      <c r="N267" s="12"/>
      <c r="O267" s="12"/>
    </row>
    <row r="268" spans="1:15" x14ac:dyDescent="0.3">
      <c r="A268" s="2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12"/>
      <c r="N268" s="12"/>
      <c r="O268" s="12"/>
    </row>
    <row r="269" spans="1:15" x14ac:dyDescent="0.3">
      <c r="A269" s="2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12"/>
      <c r="N269" s="12"/>
      <c r="O269" s="12"/>
    </row>
    <row r="270" spans="1:15" x14ac:dyDescent="0.3">
      <c r="A270" s="2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12"/>
      <c r="N270" s="12"/>
      <c r="O270" s="12"/>
    </row>
    <row r="271" spans="1:15" x14ac:dyDescent="0.3">
      <c r="A271" s="2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12"/>
      <c r="N271" s="12"/>
      <c r="O271" s="12"/>
    </row>
    <row r="272" spans="1:15" x14ac:dyDescent="0.3">
      <c r="A272" s="2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12"/>
      <c r="N272" s="12"/>
      <c r="O272" s="12"/>
    </row>
    <row r="273" spans="1:15" x14ac:dyDescent="0.3">
      <c r="A273" s="2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12"/>
      <c r="N273" s="12"/>
      <c r="O273" s="12"/>
    </row>
    <row r="274" spans="1:15" x14ac:dyDescent="0.3">
      <c r="A274" s="2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12"/>
      <c r="N274" s="12"/>
      <c r="O274" s="12"/>
    </row>
    <row r="275" spans="1:15" x14ac:dyDescent="0.3">
      <c r="A275" s="2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12"/>
      <c r="N275" s="12"/>
      <c r="O275" s="12"/>
    </row>
    <row r="276" spans="1:15" x14ac:dyDescent="0.3">
      <c r="A276" s="2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12"/>
      <c r="N276" s="12"/>
      <c r="O276" s="12"/>
    </row>
    <row r="277" spans="1:15" x14ac:dyDescent="0.3">
      <c r="A277" s="2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12"/>
      <c r="N277" s="12"/>
      <c r="O277" s="12"/>
    </row>
    <row r="278" spans="1:15" x14ac:dyDescent="0.3">
      <c r="A278" s="2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12"/>
      <c r="N278" s="12"/>
      <c r="O278" s="12"/>
    </row>
    <row r="279" spans="1:15" x14ac:dyDescent="0.3">
      <c r="A279" s="2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12"/>
      <c r="N279" s="12"/>
      <c r="O279" s="12"/>
    </row>
    <row r="280" spans="1:15" x14ac:dyDescent="0.3">
      <c r="A280" s="2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12"/>
      <c r="N280" s="12"/>
      <c r="O280" s="12"/>
    </row>
    <row r="281" spans="1:15" x14ac:dyDescent="0.3">
      <c r="A281" s="2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12"/>
      <c r="N281" s="12"/>
      <c r="O281" s="12"/>
    </row>
    <row r="282" spans="1:15" x14ac:dyDescent="0.3">
      <c r="A282" s="2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12"/>
      <c r="N282" s="12"/>
      <c r="O282" s="12"/>
    </row>
    <row r="283" spans="1:15" x14ac:dyDescent="0.3">
      <c r="A283" s="2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12"/>
      <c r="N283" s="12"/>
      <c r="O283" s="12"/>
    </row>
    <row r="284" spans="1:15" x14ac:dyDescent="0.3">
      <c r="A284" s="2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12"/>
      <c r="N284" s="12"/>
      <c r="O284" s="12"/>
    </row>
    <row r="285" spans="1:15" x14ac:dyDescent="0.3">
      <c r="A285" s="2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12"/>
      <c r="N285" s="12"/>
      <c r="O285" s="12"/>
    </row>
    <row r="286" spans="1:15" x14ac:dyDescent="0.3">
      <c r="A286" s="2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12"/>
      <c r="N286" s="12"/>
      <c r="O286" s="12"/>
    </row>
    <row r="287" spans="1:15" x14ac:dyDescent="0.3">
      <c r="A287" s="2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12"/>
      <c r="N287" s="12"/>
      <c r="O287" s="12"/>
    </row>
    <row r="288" spans="1:15" x14ac:dyDescent="0.3">
      <c r="A288" s="2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12"/>
      <c r="N288" s="12"/>
      <c r="O288" s="12"/>
    </row>
    <row r="289" spans="1:15" x14ac:dyDescent="0.3">
      <c r="A289" s="2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12"/>
      <c r="N289" s="12"/>
      <c r="O289" s="12"/>
    </row>
    <row r="290" spans="1:15" x14ac:dyDescent="0.3">
      <c r="A290" s="2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12"/>
      <c r="N290" s="12"/>
      <c r="O290" s="12"/>
    </row>
    <row r="291" spans="1:15" x14ac:dyDescent="0.3">
      <c r="A291" s="2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12"/>
      <c r="N291" s="12"/>
      <c r="O291" s="12"/>
    </row>
    <row r="292" spans="1:15" x14ac:dyDescent="0.3">
      <c r="A292" s="2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12"/>
      <c r="N292" s="12"/>
      <c r="O292" s="12"/>
    </row>
    <row r="293" spans="1:15" x14ac:dyDescent="0.3">
      <c r="A293" s="2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12"/>
      <c r="N293" s="12"/>
      <c r="O293" s="12"/>
    </row>
    <row r="294" spans="1:15" x14ac:dyDescent="0.3">
      <c r="A294" s="2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12"/>
      <c r="N294" s="12"/>
      <c r="O294" s="12"/>
    </row>
    <row r="295" spans="1:15" x14ac:dyDescent="0.3">
      <c r="A295" s="2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12"/>
      <c r="N295" s="12"/>
      <c r="O295" s="12"/>
    </row>
    <row r="296" spans="1:15" x14ac:dyDescent="0.3">
      <c r="A296" s="2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12"/>
      <c r="N296" s="12"/>
      <c r="O296" s="12"/>
    </row>
    <row r="297" spans="1:15" x14ac:dyDescent="0.3">
      <c r="A297" s="2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12"/>
      <c r="N297" s="12"/>
      <c r="O297" s="12"/>
    </row>
    <row r="298" spans="1:15" x14ac:dyDescent="0.3">
      <c r="A298" s="2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12"/>
      <c r="N298" s="12"/>
      <c r="O298" s="12"/>
    </row>
    <row r="299" spans="1:15" x14ac:dyDescent="0.3">
      <c r="A299" s="2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12"/>
      <c r="N299" s="12"/>
      <c r="O299" s="12"/>
    </row>
    <row r="300" spans="1:15" x14ac:dyDescent="0.3">
      <c r="A300" s="2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12"/>
      <c r="N300" s="12"/>
      <c r="O300" s="12"/>
    </row>
    <row r="301" spans="1:15" x14ac:dyDescent="0.3">
      <c r="A301" s="2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12"/>
      <c r="N301" s="12"/>
      <c r="O301" s="12"/>
    </row>
    <row r="302" spans="1:15" x14ac:dyDescent="0.3">
      <c r="A302" s="2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12"/>
      <c r="N302" s="12"/>
      <c r="O302" s="12"/>
    </row>
    <row r="303" spans="1:15" x14ac:dyDescent="0.3">
      <c r="A303" s="2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12"/>
      <c r="N303" s="12"/>
      <c r="O303" s="12"/>
    </row>
    <row r="304" spans="1:15" x14ac:dyDescent="0.3">
      <c r="A304" s="2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12"/>
      <c r="N304" s="12"/>
      <c r="O304" s="12"/>
    </row>
    <row r="305" spans="1:15" x14ac:dyDescent="0.3">
      <c r="A305" s="2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12"/>
      <c r="N305" s="12"/>
      <c r="O305" s="12"/>
    </row>
    <row r="306" spans="1:15" x14ac:dyDescent="0.3">
      <c r="A306" s="2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12"/>
      <c r="N306" s="12"/>
      <c r="O306" s="12"/>
    </row>
    <row r="307" spans="1:15" x14ac:dyDescent="0.3">
      <c r="A307" s="2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12"/>
      <c r="N307" s="12"/>
      <c r="O307" s="12"/>
    </row>
    <row r="308" spans="1:15" x14ac:dyDescent="0.3">
      <c r="A308" s="2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12"/>
      <c r="N308" s="12"/>
      <c r="O308" s="12"/>
    </row>
    <row r="309" spans="1:15" x14ac:dyDescent="0.3">
      <c r="A309" s="2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12"/>
      <c r="N309" s="12"/>
      <c r="O309" s="12"/>
    </row>
    <row r="310" spans="1:15" x14ac:dyDescent="0.3">
      <c r="A310" s="2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12"/>
      <c r="N310" s="12"/>
      <c r="O310" s="12"/>
    </row>
    <row r="311" spans="1:15" x14ac:dyDescent="0.3">
      <c r="A311" s="2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12"/>
      <c r="N311" s="12"/>
      <c r="O311" s="12"/>
    </row>
    <row r="312" spans="1:15" x14ac:dyDescent="0.3">
      <c r="A312" s="2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12"/>
      <c r="N312" s="12"/>
      <c r="O312" s="12"/>
    </row>
    <row r="313" spans="1:15" x14ac:dyDescent="0.3">
      <c r="A313" s="2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12"/>
      <c r="N313" s="12"/>
      <c r="O313" s="12"/>
    </row>
    <row r="314" spans="1:15" x14ac:dyDescent="0.3">
      <c r="A314" s="2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12"/>
      <c r="N314" s="12"/>
      <c r="O314" s="12"/>
    </row>
    <row r="315" spans="1:15" x14ac:dyDescent="0.3">
      <c r="A315" s="2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12"/>
      <c r="N315" s="12"/>
      <c r="O315" s="12"/>
    </row>
    <row r="316" spans="1:15" x14ac:dyDescent="0.3">
      <c r="A316" s="2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12"/>
      <c r="N316" s="12"/>
      <c r="O316" s="12"/>
    </row>
    <row r="317" spans="1:15" x14ac:dyDescent="0.3">
      <c r="A317" s="2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</row>
    <row r="318" spans="1:15" x14ac:dyDescent="0.3">
      <c r="A318" s="2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</row>
    <row r="319" spans="1:15" x14ac:dyDescent="0.3">
      <c r="A319" s="2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</row>
    <row r="320" spans="1:15" x14ac:dyDescent="0.3">
      <c r="A320" s="2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</row>
    <row r="321" spans="1:13" x14ac:dyDescent="0.3">
      <c r="A321" s="2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</row>
    <row r="322" spans="1:13" x14ac:dyDescent="0.3">
      <c r="A322" s="2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</row>
    <row r="323" spans="1:13" x14ac:dyDescent="0.3">
      <c r="A323" s="2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</row>
    <row r="324" spans="1:13" x14ac:dyDescent="0.3">
      <c r="A324" s="2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</row>
    <row r="325" spans="1:13" x14ac:dyDescent="0.3">
      <c r="A325" s="2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</row>
    <row r="326" spans="1:13" x14ac:dyDescent="0.3">
      <c r="A326" s="2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</row>
    <row r="327" spans="1:13" x14ac:dyDescent="0.3">
      <c r="A327" s="2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</row>
    <row r="328" spans="1:13" x14ac:dyDescent="0.3">
      <c r="A328" s="2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</row>
    <row r="329" spans="1:13" x14ac:dyDescent="0.3">
      <c r="A329" s="2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</row>
    <row r="330" spans="1:13" x14ac:dyDescent="0.3">
      <c r="A330" s="2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</row>
    <row r="331" spans="1:13" x14ac:dyDescent="0.3">
      <c r="A331" s="2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</row>
    <row r="332" spans="1:13" x14ac:dyDescent="0.3">
      <c r="A332" s="2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</row>
    <row r="333" spans="1:13" x14ac:dyDescent="0.3">
      <c r="A333" s="2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</row>
    <row r="334" spans="1:13" x14ac:dyDescent="0.3">
      <c r="A334" s="2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</row>
    <row r="335" spans="1:13" x14ac:dyDescent="0.3">
      <c r="A335" s="2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</row>
    <row r="336" spans="1:13" x14ac:dyDescent="0.3">
      <c r="A336" s="2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</row>
    <row r="337" spans="1:13" x14ac:dyDescent="0.3">
      <c r="A337" s="2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</row>
    <row r="338" spans="1:13" x14ac:dyDescent="0.3">
      <c r="A338" s="2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</row>
    <row r="339" spans="1:13" x14ac:dyDescent="0.3">
      <c r="A339" s="2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</row>
    <row r="340" spans="1:13" x14ac:dyDescent="0.3">
      <c r="A340" s="2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</row>
    <row r="341" spans="1:13" x14ac:dyDescent="0.3">
      <c r="A341" s="2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</row>
    <row r="342" spans="1:13" x14ac:dyDescent="0.3">
      <c r="A342" s="2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</row>
    <row r="343" spans="1:13" x14ac:dyDescent="0.3">
      <c r="A343" s="2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</row>
    <row r="344" spans="1:13" x14ac:dyDescent="0.3">
      <c r="A344" s="2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</row>
    <row r="345" spans="1:13" x14ac:dyDescent="0.3">
      <c r="A345" s="2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</row>
    <row r="346" spans="1:13" x14ac:dyDescent="0.3">
      <c r="A346" s="2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</row>
    <row r="347" spans="1:13" x14ac:dyDescent="0.3">
      <c r="A347" s="2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</row>
    <row r="348" spans="1:13" x14ac:dyDescent="0.3">
      <c r="A348" s="2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</row>
    <row r="349" spans="1:13" x14ac:dyDescent="0.3">
      <c r="A349" s="2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</row>
    <row r="350" spans="1:13" x14ac:dyDescent="0.3">
      <c r="A350" s="2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</row>
    <row r="351" spans="1:13" x14ac:dyDescent="0.3">
      <c r="A351" s="2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</row>
    <row r="352" spans="1:13" x14ac:dyDescent="0.3">
      <c r="A352" s="2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</row>
    <row r="353" spans="1:13" x14ac:dyDescent="0.3">
      <c r="A353" s="2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</row>
    <row r="354" spans="1:13" x14ac:dyDescent="0.3">
      <c r="A354" s="2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</row>
    <row r="355" spans="1:13" x14ac:dyDescent="0.3">
      <c r="A355" s="2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</row>
    <row r="356" spans="1:13" x14ac:dyDescent="0.3">
      <c r="A356" s="2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</row>
    <row r="357" spans="1:13" x14ac:dyDescent="0.3">
      <c r="A357" s="2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</row>
    <row r="358" spans="1:13" x14ac:dyDescent="0.3">
      <c r="A358" s="2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</row>
    <row r="359" spans="1:13" x14ac:dyDescent="0.3">
      <c r="A359" s="2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</row>
    <row r="360" spans="1:13" x14ac:dyDescent="0.3">
      <c r="A360" s="2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</row>
    <row r="361" spans="1:13" x14ac:dyDescent="0.3">
      <c r="A361" s="2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</row>
    <row r="362" spans="1:13" x14ac:dyDescent="0.3">
      <c r="A362" s="2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</row>
    <row r="363" spans="1:13" x14ac:dyDescent="0.3">
      <c r="A363" s="2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</row>
    <row r="364" spans="1:13" x14ac:dyDescent="0.3">
      <c r="A364" s="2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</row>
    <row r="365" spans="1:13" x14ac:dyDescent="0.3">
      <c r="A365" s="2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</row>
    <row r="366" spans="1:13" x14ac:dyDescent="0.3">
      <c r="A366" s="2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</row>
    <row r="367" spans="1:13" x14ac:dyDescent="0.3">
      <c r="A367" s="2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</row>
    <row r="368" spans="1:13" x14ac:dyDescent="0.3">
      <c r="A368" s="2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</row>
    <row r="369" spans="1:13" x14ac:dyDescent="0.3">
      <c r="A369" s="2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</row>
    <row r="370" spans="1:13" x14ac:dyDescent="0.3">
      <c r="A370" s="2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</row>
    <row r="371" spans="1:13" x14ac:dyDescent="0.3">
      <c r="A371" s="2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</row>
    <row r="372" spans="1:13" x14ac:dyDescent="0.3">
      <c r="A372" s="2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</row>
    <row r="373" spans="1:13" x14ac:dyDescent="0.3">
      <c r="A373" s="2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</row>
    <row r="374" spans="1:13" x14ac:dyDescent="0.3">
      <c r="A374" s="2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</row>
    <row r="375" spans="1:13" x14ac:dyDescent="0.3">
      <c r="A375" s="2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</row>
    <row r="376" spans="1:13" x14ac:dyDescent="0.3">
      <c r="A376" s="2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</row>
    <row r="377" spans="1:13" x14ac:dyDescent="0.3">
      <c r="A377" s="2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</row>
    <row r="378" spans="1:13" x14ac:dyDescent="0.3">
      <c r="A378" s="2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</row>
    <row r="379" spans="1:13" x14ac:dyDescent="0.3">
      <c r="A379" s="2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</row>
    <row r="380" spans="1:13" x14ac:dyDescent="0.3">
      <c r="A380" s="2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</row>
    <row r="381" spans="1:13" x14ac:dyDescent="0.3">
      <c r="A381" s="2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</row>
    <row r="382" spans="1:13" x14ac:dyDescent="0.3">
      <c r="A382" s="2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</row>
    <row r="383" spans="1:13" x14ac:dyDescent="0.3">
      <c r="A383" s="2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</row>
    <row r="384" spans="1:13" x14ac:dyDescent="0.3">
      <c r="A384" s="2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</row>
    <row r="385" spans="1:13" x14ac:dyDescent="0.3">
      <c r="A385" s="2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</row>
    <row r="386" spans="1:13" x14ac:dyDescent="0.3">
      <c r="A386" s="2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</row>
    <row r="387" spans="1:13" x14ac:dyDescent="0.3">
      <c r="A387" s="2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</row>
    <row r="388" spans="1:13" x14ac:dyDescent="0.3">
      <c r="A388" s="2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</row>
    <row r="389" spans="1:13" x14ac:dyDescent="0.3">
      <c r="A389" s="2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</row>
    <row r="390" spans="1:13" x14ac:dyDescent="0.3">
      <c r="A390" s="2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</row>
    <row r="391" spans="1:13" x14ac:dyDescent="0.3">
      <c r="A391" s="2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</row>
    <row r="392" spans="1:13" x14ac:dyDescent="0.3">
      <c r="A392" s="2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</row>
    <row r="393" spans="1:13" x14ac:dyDescent="0.3">
      <c r="A393" s="2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</row>
    <row r="394" spans="1:13" x14ac:dyDescent="0.3">
      <c r="A394" s="2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</row>
    <row r="395" spans="1:13" x14ac:dyDescent="0.3">
      <c r="A395" s="2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</row>
    <row r="396" spans="1:13" x14ac:dyDescent="0.3">
      <c r="A396" s="2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</row>
    <row r="397" spans="1:13" x14ac:dyDescent="0.3">
      <c r="A397" s="2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</row>
    <row r="398" spans="1:13" x14ac:dyDescent="0.3">
      <c r="A398" s="2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</row>
    <row r="399" spans="1:13" x14ac:dyDescent="0.3">
      <c r="A399" s="2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</row>
    <row r="400" spans="1:13" x14ac:dyDescent="0.3">
      <c r="A400" s="2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</row>
    <row r="401" spans="1:13" x14ac:dyDescent="0.3">
      <c r="A401" s="2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</row>
    <row r="402" spans="1:13" x14ac:dyDescent="0.3">
      <c r="A402" s="2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</row>
    <row r="403" spans="1:13" x14ac:dyDescent="0.3">
      <c r="A403" s="2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</row>
    <row r="404" spans="1:13" x14ac:dyDescent="0.3">
      <c r="A404" s="2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</row>
    <row r="405" spans="1:13" x14ac:dyDescent="0.3">
      <c r="A405" s="2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</row>
    <row r="406" spans="1:13" x14ac:dyDescent="0.3">
      <c r="A406" s="2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</row>
    <row r="407" spans="1:13" x14ac:dyDescent="0.3">
      <c r="A407" s="2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</row>
    <row r="408" spans="1:13" x14ac:dyDescent="0.3">
      <c r="A408" s="2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</row>
    <row r="409" spans="1:13" x14ac:dyDescent="0.3">
      <c r="A409" s="2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</row>
    <row r="410" spans="1:13" x14ac:dyDescent="0.3">
      <c r="A410" s="2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</row>
    <row r="411" spans="1:13" x14ac:dyDescent="0.3">
      <c r="A411" s="2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</row>
    <row r="412" spans="1:13" x14ac:dyDescent="0.3">
      <c r="A412" s="2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</row>
    <row r="413" spans="1:13" x14ac:dyDescent="0.3">
      <c r="A413" s="2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</row>
    <row r="414" spans="1:13" x14ac:dyDescent="0.3">
      <c r="A414" s="2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</row>
    <row r="415" spans="1:13" x14ac:dyDescent="0.3">
      <c r="A415" s="2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</row>
    <row r="416" spans="1:13" x14ac:dyDescent="0.3">
      <c r="A416" s="2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</row>
    <row r="417" spans="1:13" x14ac:dyDescent="0.3">
      <c r="A417" s="2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</row>
    <row r="418" spans="1:13" x14ac:dyDescent="0.3">
      <c r="A418" s="2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</row>
    <row r="419" spans="1:13" x14ac:dyDescent="0.3">
      <c r="A419" s="2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</row>
    <row r="420" spans="1:13" x14ac:dyDescent="0.3">
      <c r="A420" s="2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</row>
    <row r="421" spans="1:13" x14ac:dyDescent="0.3">
      <c r="A421" s="2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</row>
    <row r="422" spans="1:13" x14ac:dyDescent="0.3">
      <c r="A422" s="2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</row>
    <row r="423" spans="1:13" x14ac:dyDescent="0.3">
      <c r="A423" s="2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</row>
    <row r="424" spans="1:13" x14ac:dyDescent="0.3">
      <c r="A424" s="2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</row>
    <row r="425" spans="1:13" x14ac:dyDescent="0.3">
      <c r="A425" s="2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</row>
    <row r="426" spans="1:13" x14ac:dyDescent="0.3">
      <c r="A426" s="2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</row>
    <row r="427" spans="1:13" x14ac:dyDescent="0.3">
      <c r="A427" s="2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</row>
    <row r="428" spans="1:13" x14ac:dyDescent="0.3">
      <c r="A428" s="2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</row>
    <row r="429" spans="1:13" x14ac:dyDescent="0.3">
      <c r="A429" s="2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</row>
    <row r="430" spans="1:13" x14ac:dyDescent="0.3">
      <c r="A430" s="2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</row>
    <row r="431" spans="1:13" x14ac:dyDescent="0.3">
      <c r="A431" s="2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</row>
    <row r="432" spans="1:13" x14ac:dyDescent="0.3">
      <c r="A432" s="2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</row>
    <row r="433" spans="1:13" x14ac:dyDescent="0.3">
      <c r="A433" s="2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</row>
    <row r="434" spans="1:13" x14ac:dyDescent="0.3">
      <c r="A434" s="2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</row>
    <row r="435" spans="1:13" x14ac:dyDescent="0.3">
      <c r="A435" s="2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</row>
    <row r="436" spans="1:13" x14ac:dyDescent="0.3">
      <c r="A436" s="2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</row>
    <row r="437" spans="1:13" x14ac:dyDescent="0.3">
      <c r="A437" s="2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</row>
    <row r="438" spans="1:13" x14ac:dyDescent="0.3">
      <c r="A438" s="2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</row>
    <row r="439" spans="1:13" x14ac:dyDescent="0.3">
      <c r="A439" s="2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</row>
    <row r="440" spans="1:13" x14ac:dyDescent="0.3">
      <c r="A440" s="2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</row>
    <row r="441" spans="1:13" x14ac:dyDescent="0.3">
      <c r="A441" s="2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</row>
    <row r="442" spans="1:13" x14ac:dyDescent="0.3">
      <c r="A442" s="2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</row>
    <row r="443" spans="1:13" x14ac:dyDescent="0.3">
      <c r="A443" s="2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</row>
    <row r="444" spans="1:13" x14ac:dyDescent="0.3">
      <c r="A444" s="2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</row>
    <row r="445" spans="1:13" x14ac:dyDescent="0.3">
      <c r="A445" s="2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</row>
    <row r="446" spans="1:13" x14ac:dyDescent="0.3">
      <c r="A446" s="2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</row>
    <row r="447" spans="1:13" x14ac:dyDescent="0.3">
      <c r="A447" s="2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</row>
    <row r="448" spans="1:13" x14ac:dyDescent="0.3">
      <c r="A448" s="2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</row>
    <row r="449" spans="1:13" x14ac:dyDescent="0.3">
      <c r="A449" s="2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</row>
    <row r="450" spans="1:13" x14ac:dyDescent="0.3">
      <c r="A450" s="2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</row>
    <row r="451" spans="1:13" x14ac:dyDescent="0.3">
      <c r="A451" s="2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</row>
    <row r="452" spans="1:13" x14ac:dyDescent="0.3">
      <c r="A452" s="2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</row>
    <row r="453" spans="1:13" x14ac:dyDescent="0.3">
      <c r="A453" s="2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</row>
    <row r="454" spans="1:13" x14ac:dyDescent="0.3">
      <c r="A454" s="2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</row>
    <row r="455" spans="1:13" x14ac:dyDescent="0.3">
      <c r="A455" s="2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</row>
    <row r="456" spans="1:13" x14ac:dyDescent="0.3">
      <c r="A456" s="2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</row>
    <row r="457" spans="1:13" x14ac:dyDescent="0.3">
      <c r="A457" s="2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</row>
    <row r="458" spans="1:13" x14ac:dyDescent="0.3">
      <c r="A458" s="2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</row>
    <row r="459" spans="1:13" x14ac:dyDescent="0.3">
      <c r="A459" s="2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</row>
    <row r="460" spans="1:13" x14ac:dyDescent="0.3">
      <c r="A460" s="2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</row>
    <row r="461" spans="1:13" x14ac:dyDescent="0.3">
      <c r="A461" s="2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</row>
    <row r="462" spans="1:13" x14ac:dyDescent="0.3">
      <c r="A462" s="2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</row>
    <row r="463" spans="1:13" x14ac:dyDescent="0.3">
      <c r="A463" s="2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</row>
    <row r="464" spans="1:13" x14ac:dyDescent="0.3">
      <c r="A464" s="2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</row>
    <row r="465" spans="1:13" x14ac:dyDescent="0.3">
      <c r="A465" s="2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</row>
    <row r="466" spans="1:13" x14ac:dyDescent="0.3">
      <c r="A466" s="2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</row>
    <row r="467" spans="1:13" x14ac:dyDescent="0.3">
      <c r="A467" s="2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</row>
    <row r="468" spans="1:13" x14ac:dyDescent="0.3">
      <c r="A468" s="2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</row>
    <row r="469" spans="1:13" x14ac:dyDescent="0.3">
      <c r="A469" s="2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</row>
    <row r="470" spans="1:13" x14ac:dyDescent="0.3">
      <c r="A470" s="2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</row>
    <row r="471" spans="1:13" x14ac:dyDescent="0.3">
      <c r="A471" s="2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</row>
    <row r="472" spans="1:13" x14ac:dyDescent="0.3">
      <c r="A472" s="2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</row>
    <row r="473" spans="1:13" x14ac:dyDescent="0.3">
      <c r="A473" s="2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</row>
    <row r="474" spans="1:13" x14ac:dyDescent="0.3">
      <c r="A474" s="2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</row>
    <row r="475" spans="1:13" x14ac:dyDescent="0.3">
      <c r="A475" s="2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</row>
    <row r="476" spans="1:13" x14ac:dyDescent="0.3">
      <c r="A476" s="2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</row>
    <row r="477" spans="1:13" x14ac:dyDescent="0.3">
      <c r="A477" s="2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</row>
    <row r="478" spans="1:13" x14ac:dyDescent="0.3">
      <c r="A478" s="2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</row>
    <row r="479" spans="1:13" x14ac:dyDescent="0.3">
      <c r="A479" s="2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</row>
    <row r="480" spans="1:13" x14ac:dyDescent="0.3">
      <c r="A480" s="2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</row>
    <row r="481" spans="1:13" x14ac:dyDescent="0.3">
      <c r="A481" s="2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</row>
    <row r="482" spans="1:13" x14ac:dyDescent="0.3">
      <c r="A482" s="2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</row>
    <row r="483" spans="1:13" x14ac:dyDescent="0.3">
      <c r="A483" s="2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</row>
    <row r="484" spans="1:13" x14ac:dyDescent="0.3">
      <c r="A484" s="2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</row>
    <row r="485" spans="1:13" x14ac:dyDescent="0.3">
      <c r="A485" s="2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</row>
    <row r="486" spans="1:13" x14ac:dyDescent="0.3">
      <c r="A486" s="2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</row>
    <row r="487" spans="1:13" x14ac:dyDescent="0.3">
      <c r="A487" s="2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</row>
    <row r="488" spans="1:13" x14ac:dyDescent="0.3">
      <c r="A488" s="2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</row>
    <row r="489" spans="1:13" x14ac:dyDescent="0.3">
      <c r="A489" s="2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</row>
    <row r="490" spans="1:13" x14ac:dyDescent="0.3">
      <c r="A490" s="2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</row>
    <row r="491" spans="1:13" x14ac:dyDescent="0.3">
      <c r="A491" s="2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</row>
    <row r="492" spans="1:13" x14ac:dyDescent="0.3">
      <c r="A492" s="2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</row>
    <row r="493" spans="1:13" x14ac:dyDescent="0.3">
      <c r="A493" s="2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</row>
    <row r="494" spans="1:13" x14ac:dyDescent="0.3">
      <c r="A494" s="2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</row>
    <row r="495" spans="1:13" x14ac:dyDescent="0.3">
      <c r="A495" s="2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</row>
    <row r="496" spans="1:13" x14ac:dyDescent="0.3">
      <c r="A496" s="2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</row>
    <row r="497" spans="1:13" x14ac:dyDescent="0.3">
      <c r="A497" s="2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</row>
    <row r="498" spans="1:13" x14ac:dyDescent="0.3">
      <c r="A498" s="2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</row>
    <row r="499" spans="1:13" x14ac:dyDescent="0.3">
      <c r="A499" s="2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</row>
    <row r="500" spans="1:13" x14ac:dyDescent="0.3">
      <c r="A500" s="2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</row>
    <row r="501" spans="1:13" x14ac:dyDescent="0.3">
      <c r="A501" s="2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</row>
    <row r="502" spans="1:13" x14ac:dyDescent="0.3">
      <c r="A502" s="2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</row>
    <row r="503" spans="1:13" x14ac:dyDescent="0.3">
      <c r="A503" s="2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</row>
    <row r="504" spans="1:13" x14ac:dyDescent="0.3">
      <c r="A504" s="2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</row>
    <row r="505" spans="1:13" x14ac:dyDescent="0.3">
      <c r="A505" s="2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</row>
    <row r="506" spans="1:13" x14ac:dyDescent="0.3">
      <c r="A506" s="2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</row>
    <row r="507" spans="1:13" x14ac:dyDescent="0.3">
      <c r="A507" s="2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</row>
    <row r="508" spans="1:13" x14ac:dyDescent="0.3">
      <c r="A508" s="2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</row>
    <row r="509" spans="1:13" x14ac:dyDescent="0.3">
      <c r="A509" s="2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</row>
    <row r="510" spans="1:13" x14ac:dyDescent="0.3">
      <c r="A510" s="2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</row>
    <row r="511" spans="1:13" x14ac:dyDescent="0.3">
      <c r="A511" s="2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</row>
    <row r="512" spans="1:13" x14ac:dyDescent="0.3">
      <c r="A512" s="2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</row>
    <row r="513" spans="1:13" x14ac:dyDescent="0.3">
      <c r="A513" s="2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</row>
    <row r="514" spans="1:13" x14ac:dyDescent="0.3">
      <c r="A514" s="2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</row>
    <row r="515" spans="1:13" x14ac:dyDescent="0.3">
      <c r="A515" s="2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</row>
    <row r="516" spans="1:13" x14ac:dyDescent="0.3">
      <c r="A516" s="2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</row>
    <row r="517" spans="1:13" x14ac:dyDescent="0.3">
      <c r="A517" s="2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</row>
    <row r="518" spans="1:13" x14ac:dyDescent="0.3">
      <c r="A518" s="2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</row>
    <row r="519" spans="1:13" x14ac:dyDescent="0.3">
      <c r="A519" s="2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</row>
    <row r="520" spans="1:13" x14ac:dyDescent="0.3">
      <c r="A520" s="2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</row>
    <row r="521" spans="1:13" x14ac:dyDescent="0.3">
      <c r="A521" s="2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</row>
    <row r="522" spans="1:13" x14ac:dyDescent="0.3">
      <c r="A522" s="2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</row>
    <row r="523" spans="1:13" x14ac:dyDescent="0.3">
      <c r="A523" s="2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</row>
    <row r="524" spans="1:13" x14ac:dyDescent="0.3">
      <c r="A524" s="2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</row>
    <row r="525" spans="1:13" x14ac:dyDescent="0.3">
      <c r="A525" s="2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</row>
    <row r="526" spans="1:13" x14ac:dyDescent="0.3">
      <c r="A526" s="2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</row>
    <row r="527" spans="1:13" x14ac:dyDescent="0.3">
      <c r="A527" s="2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</row>
    <row r="528" spans="1:13" x14ac:dyDescent="0.3">
      <c r="A528" s="2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</row>
    <row r="529" spans="1:13" x14ac:dyDescent="0.3">
      <c r="A529" s="2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</row>
    <row r="530" spans="1:13" x14ac:dyDescent="0.3">
      <c r="A530" s="2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</row>
    <row r="531" spans="1:13" x14ac:dyDescent="0.3">
      <c r="A531" s="2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</row>
    <row r="532" spans="1:13" x14ac:dyDescent="0.3">
      <c r="A532" s="2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</row>
    <row r="533" spans="1:13" x14ac:dyDescent="0.3">
      <c r="A533" s="2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</row>
    <row r="534" spans="1:13" x14ac:dyDescent="0.3">
      <c r="A534" s="2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</row>
    <row r="535" spans="1:13" x14ac:dyDescent="0.3">
      <c r="A535" s="2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</row>
    <row r="536" spans="1:13" x14ac:dyDescent="0.3">
      <c r="A536" s="2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</row>
    <row r="537" spans="1:13" x14ac:dyDescent="0.3">
      <c r="A537" s="2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</row>
    <row r="538" spans="1:13" x14ac:dyDescent="0.3">
      <c r="A538" s="2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</row>
    <row r="539" spans="1:13" x14ac:dyDescent="0.3">
      <c r="A539" s="2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</row>
    <row r="540" spans="1:13" x14ac:dyDescent="0.3">
      <c r="A540" s="2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</row>
    <row r="541" spans="1:13" x14ac:dyDescent="0.3">
      <c r="A541" s="2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</row>
    <row r="542" spans="1:13" x14ac:dyDescent="0.3">
      <c r="A542" s="2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</row>
    <row r="543" spans="1:13" x14ac:dyDescent="0.3">
      <c r="A543" s="2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</row>
    <row r="544" spans="1:13" x14ac:dyDescent="0.3">
      <c r="A544" s="2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</row>
    <row r="545" spans="1:13" x14ac:dyDescent="0.3">
      <c r="A545" s="2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</row>
    <row r="546" spans="1:13" x14ac:dyDescent="0.3">
      <c r="A546" s="2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</row>
    <row r="547" spans="1:13" x14ac:dyDescent="0.3">
      <c r="A547" s="2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</row>
    <row r="548" spans="1:13" x14ac:dyDescent="0.3">
      <c r="A548" s="2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</row>
    <row r="549" spans="1:13" x14ac:dyDescent="0.3">
      <c r="A549" s="2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</row>
    <row r="550" spans="1:13" x14ac:dyDescent="0.3">
      <c r="A550" s="2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</row>
    <row r="551" spans="1:13" x14ac:dyDescent="0.3">
      <c r="A551" s="2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</row>
    <row r="552" spans="1:13" x14ac:dyDescent="0.3">
      <c r="A552" s="2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</row>
    <row r="553" spans="1:13" x14ac:dyDescent="0.3">
      <c r="A553" s="2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</row>
    <row r="554" spans="1:13" x14ac:dyDescent="0.3">
      <c r="A554" s="2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</row>
    <row r="555" spans="1:13" x14ac:dyDescent="0.3">
      <c r="A555" s="2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</row>
    <row r="556" spans="1:13" x14ac:dyDescent="0.3">
      <c r="A556" s="2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</row>
    <row r="557" spans="1:13" x14ac:dyDescent="0.3">
      <c r="A557" s="2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</row>
    <row r="558" spans="1:13" x14ac:dyDescent="0.3">
      <c r="A558" s="2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</row>
    <row r="559" spans="1:13" x14ac:dyDescent="0.3">
      <c r="A559" s="2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</row>
    <row r="560" spans="1:13" x14ac:dyDescent="0.3">
      <c r="A560" s="2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</row>
    <row r="561" spans="1:13" x14ac:dyDescent="0.3">
      <c r="A561" s="2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</row>
    <row r="562" spans="1:13" x14ac:dyDescent="0.3">
      <c r="A562" s="2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</row>
    <row r="563" spans="1:13" x14ac:dyDescent="0.3">
      <c r="A563" s="2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</row>
    <row r="564" spans="1:13" x14ac:dyDescent="0.3">
      <c r="A564" s="2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</row>
    <row r="565" spans="1:13" x14ac:dyDescent="0.3">
      <c r="A565" s="2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</row>
    <row r="566" spans="1:13" x14ac:dyDescent="0.3">
      <c r="A566" s="2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</row>
    <row r="567" spans="1:13" x14ac:dyDescent="0.3">
      <c r="A567" s="2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</row>
    <row r="568" spans="1:13" x14ac:dyDescent="0.3">
      <c r="A568" s="2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</row>
    <row r="569" spans="1:13" x14ac:dyDescent="0.3">
      <c r="A569" s="2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</row>
    <row r="570" spans="1:13" x14ac:dyDescent="0.3">
      <c r="A570" s="2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</row>
    <row r="571" spans="1:13" x14ac:dyDescent="0.3">
      <c r="A571" s="2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</row>
    <row r="572" spans="1:13" x14ac:dyDescent="0.3">
      <c r="A572" s="2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</row>
    <row r="573" spans="1:13" x14ac:dyDescent="0.3">
      <c r="A573" s="2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</row>
    <row r="574" spans="1:13" x14ac:dyDescent="0.3">
      <c r="A574" s="2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</row>
    <row r="575" spans="1:13" x14ac:dyDescent="0.3">
      <c r="A575" s="2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</row>
    <row r="576" spans="1:13" x14ac:dyDescent="0.3">
      <c r="A576" s="2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</row>
    <row r="577" spans="1:13" x14ac:dyDescent="0.3">
      <c r="A577" s="2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</row>
    <row r="578" spans="1:13" x14ac:dyDescent="0.3">
      <c r="A578" s="2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</row>
    <row r="579" spans="1:13" x14ac:dyDescent="0.3">
      <c r="A579" s="2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</row>
    <row r="580" spans="1:13" x14ac:dyDescent="0.3">
      <c r="A580" s="2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</row>
    <row r="581" spans="1:13" x14ac:dyDescent="0.3">
      <c r="A581" s="2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</row>
    <row r="582" spans="1:13" x14ac:dyDescent="0.3">
      <c r="A582" s="2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</row>
    <row r="583" spans="1:13" x14ac:dyDescent="0.3">
      <c r="A583" s="2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</row>
    <row r="584" spans="1:13" x14ac:dyDescent="0.3">
      <c r="A584" s="2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</row>
    <row r="585" spans="1:13" x14ac:dyDescent="0.3">
      <c r="A585" s="2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</row>
    <row r="586" spans="1:13" x14ac:dyDescent="0.3">
      <c r="A586" s="2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</row>
    <row r="587" spans="1:13" x14ac:dyDescent="0.3">
      <c r="A587" s="2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</row>
    <row r="588" spans="1:13" x14ac:dyDescent="0.3">
      <c r="A588" s="2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</row>
    <row r="589" spans="1:13" x14ac:dyDescent="0.3">
      <c r="A589" s="2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</row>
    <row r="590" spans="1:13" x14ac:dyDescent="0.3">
      <c r="A590" s="2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</row>
    <row r="591" spans="1:13" x14ac:dyDescent="0.3">
      <c r="A591" s="2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</row>
    <row r="592" spans="1:13" x14ac:dyDescent="0.3">
      <c r="A592" s="2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</row>
    <row r="593" spans="1:13" x14ac:dyDescent="0.3">
      <c r="A593" s="2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</row>
    <row r="594" spans="1:13" x14ac:dyDescent="0.3">
      <c r="A594" s="2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</row>
    <row r="595" spans="1:13" x14ac:dyDescent="0.3">
      <c r="A595" s="2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</row>
    <row r="596" spans="1:13" x14ac:dyDescent="0.3">
      <c r="A596" s="2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</row>
    <row r="597" spans="1:13" x14ac:dyDescent="0.3">
      <c r="A597" s="2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</row>
    <row r="598" spans="1:13" x14ac:dyDescent="0.3">
      <c r="A598" s="2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</row>
    <row r="599" spans="1:13" x14ac:dyDescent="0.3">
      <c r="A599" s="2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</row>
    <row r="600" spans="1:13" x14ac:dyDescent="0.3">
      <c r="A600" s="2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</row>
    <row r="601" spans="1:13" x14ac:dyDescent="0.3">
      <c r="A601" s="2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</row>
    <row r="602" spans="1:13" x14ac:dyDescent="0.3">
      <c r="A602" s="2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</row>
    <row r="603" spans="1:13" x14ac:dyDescent="0.3">
      <c r="A603" s="2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</row>
    <row r="604" spans="1:13" x14ac:dyDescent="0.3">
      <c r="A604" s="2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</row>
    <row r="605" spans="1:13" x14ac:dyDescent="0.3">
      <c r="A605" s="2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</row>
    <row r="606" spans="1:13" x14ac:dyDescent="0.3">
      <c r="A606" s="2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</row>
    <row r="607" spans="1:13" x14ac:dyDescent="0.3">
      <c r="A607" s="2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</row>
    <row r="608" spans="1:13" x14ac:dyDescent="0.3">
      <c r="A608" s="2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</row>
    <row r="609" spans="1:13" x14ac:dyDescent="0.3">
      <c r="A609" s="2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</row>
    <row r="610" spans="1:13" x14ac:dyDescent="0.3">
      <c r="A610" s="2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</row>
    <row r="611" spans="1:13" x14ac:dyDescent="0.3">
      <c r="A611" s="2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</row>
    <row r="612" spans="1:13" x14ac:dyDescent="0.3">
      <c r="A612" s="2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</row>
    <row r="613" spans="1:13" x14ac:dyDescent="0.3">
      <c r="A613" s="2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</row>
    <row r="614" spans="1:13" x14ac:dyDescent="0.3">
      <c r="A614" s="2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</row>
    <row r="615" spans="1:13" x14ac:dyDescent="0.3">
      <c r="A615" s="2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</row>
    <row r="616" spans="1:13" x14ac:dyDescent="0.3">
      <c r="A616" s="2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</row>
    <row r="617" spans="1:13" x14ac:dyDescent="0.3">
      <c r="A617" s="2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</row>
    <row r="618" spans="1:13" x14ac:dyDescent="0.3">
      <c r="A618" s="2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</row>
    <row r="619" spans="1:13" x14ac:dyDescent="0.3">
      <c r="A619" s="2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</row>
    <row r="620" spans="1:13" x14ac:dyDescent="0.3">
      <c r="A620" s="2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</row>
    <row r="621" spans="1:13" x14ac:dyDescent="0.3">
      <c r="A621" s="2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</row>
    <row r="622" spans="1:13" x14ac:dyDescent="0.3">
      <c r="A622" s="2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</row>
    <row r="623" spans="1:13" x14ac:dyDescent="0.3">
      <c r="A623" s="2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</row>
    <row r="624" spans="1:13" x14ac:dyDescent="0.3">
      <c r="A624" s="2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</row>
    <row r="625" spans="1:13" x14ac:dyDescent="0.3">
      <c r="A625" s="2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</row>
    <row r="626" spans="1:13" x14ac:dyDescent="0.3">
      <c r="A626" s="2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</row>
    <row r="627" spans="1:13" x14ac:dyDescent="0.3">
      <c r="A627" s="2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</row>
    <row r="628" spans="1:13" x14ac:dyDescent="0.3">
      <c r="A628" s="2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</row>
    <row r="629" spans="1:13" x14ac:dyDescent="0.3">
      <c r="A629" s="2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</row>
    <row r="630" spans="1:13" x14ac:dyDescent="0.3">
      <c r="A630" s="2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</row>
    <row r="631" spans="1:13" x14ac:dyDescent="0.3">
      <c r="A631" s="2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</row>
    <row r="632" spans="1:13" x14ac:dyDescent="0.3">
      <c r="A632" s="2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</row>
    <row r="633" spans="1:13" x14ac:dyDescent="0.3">
      <c r="A633" s="2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</row>
    <row r="634" spans="1:13" x14ac:dyDescent="0.3">
      <c r="A634" s="2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</row>
    <row r="635" spans="1:13" x14ac:dyDescent="0.3">
      <c r="A635" s="2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</row>
    <row r="636" spans="1:13" x14ac:dyDescent="0.3">
      <c r="A636" s="2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</row>
    <row r="637" spans="1:13" x14ac:dyDescent="0.3">
      <c r="A637" s="2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</row>
    <row r="638" spans="1:13" x14ac:dyDescent="0.3">
      <c r="A638" s="2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</row>
    <row r="639" spans="1:13" x14ac:dyDescent="0.3">
      <c r="A639" s="2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</row>
    <row r="640" spans="1:13" x14ac:dyDescent="0.3">
      <c r="A640" s="2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</row>
    <row r="641" spans="1:13" x14ac:dyDescent="0.3">
      <c r="A641" s="2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</row>
    <row r="642" spans="1:13" x14ac:dyDescent="0.3">
      <c r="A642" s="2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</row>
    <row r="643" spans="1:13" x14ac:dyDescent="0.3">
      <c r="A643" s="2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</row>
    <row r="644" spans="1:13" x14ac:dyDescent="0.3">
      <c r="A644" s="2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</row>
    <row r="645" spans="1:13" x14ac:dyDescent="0.3">
      <c r="A645" s="2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</row>
    <row r="646" spans="1:13" x14ac:dyDescent="0.3">
      <c r="A646" s="2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</row>
    <row r="647" spans="1:13" x14ac:dyDescent="0.3">
      <c r="A647" s="2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</row>
    <row r="648" spans="1:13" x14ac:dyDescent="0.3">
      <c r="A648" s="2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</row>
    <row r="649" spans="1:13" x14ac:dyDescent="0.3">
      <c r="A649" s="2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</row>
    <row r="650" spans="1:13" x14ac:dyDescent="0.3">
      <c r="A650" s="2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</row>
    <row r="651" spans="1:13" x14ac:dyDescent="0.3">
      <c r="A651" s="2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</row>
    <row r="652" spans="1:13" x14ac:dyDescent="0.3">
      <c r="A652" s="2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</row>
    <row r="653" spans="1:13" x14ac:dyDescent="0.3">
      <c r="A653" s="2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</row>
    <row r="654" spans="1:13" x14ac:dyDescent="0.3">
      <c r="A654" s="2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</row>
    <row r="655" spans="1:13" x14ac:dyDescent="0.3">
      <c r="A655" s="2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</row>
    <row r="656" spans="1:13" x14ac:dyDescent="0.3">
      <c r="A656" s="2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</row>
    <row r="657" spans="1:13" x14ac:dyDescent="0.3">
      <c r="A657" s="2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</row>
    <row r="658" spans="1:13" x14ac:dyDescent="0.3">
      <c r="A658" s="2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</row>
    <row r="659" spans="1:13" x14ac:dyDescent="0.3">
      <c r="A659" s="2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</row>
    <row r="660" spans="1:13" x14ac:dyDescent="0.3">
      <c r="A660" s="2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</row>
    <row r="661" spans="1:13" x14ac:dyDescent="0.3">
      <c r="A661" s="2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</row>
    <row r="662" spans="1:13" x14ac:dyDescent="0.3">
      <c r="A662" s="2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</row>
    <row r="663" spans="1:13" x14ac:dyDescent="0.3">
      <c r="A663" s="2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</row>
    <row r="664" spans="1:13" x14ac:dyDescent="0.3">
      <c r="A664" s="2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</row>
    <row r="665" spans="1:13" x14ac:dyDescent="0.3">
      <c r="A665" s="2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</row>
    <row r="666" spans="1:13" x14ac:dyDescent="0.3">
      <c r="A666" s="2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</row>
    <row r="667" spans="1:13" x14ac:dyDescent="0.3">
      <c r="A667" s="2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</row>
    <row r="668" spans="1:13" x14ac:dyDescent="0.3">
      <c r="A668" s="2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</row>
    <row r="669" spans="1:13" x14ac:dyDescent="0.3">
      <c r="A669" s="2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</row>
    <row r="670" spans="1:13" x14ac:dyDescent="0.3">
      <c r="A670" s="2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</row>
    <row r="671" spans="1:13" x14ac:dyDescent="0.3">
      <c r="A671" s="2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</row>
    <row r="672" spans="1:13" x14ac:dyDescent="0.3">
      <c r="A672" s="2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</row>
    <row r="673" spans="1:13" x14ac:dyDescent="0.3">
      <c r="A673" s="2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</row>
    <row r="674" spans="1:13" x14ac:dyDescent="0.3">
      <c r="A674" s="2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</row>
    <row r="675" spans="1:13" x14ac:dyDescent="0.3">
      <c r="A675" s="2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</row>
    <row r="676" spans="1:13" x14ac:dyDescent="0.3">
      <c r="A676" s="2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</row>
    <row r="677" spans="1:13" x14ac:dyDescent="0.3">
      <c r="A677" s="2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</row>
    <row r="678" spans="1:13" x14ac:dyDescent="0.3">
      <c r="A678" s="2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</row>
    <row r="679" spans="1:13" x14ac:dyDescent="0.3">
      <c r="A679" s="2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</row>
    <row r="680" spans="1:13" x14ac:dyDescent="0.3">
      <c r="A680" s="2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</row>
    <row r="681" spans="1:13" x14ac:dyDescent="0.3">
      <c r="A681" s="2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</row>
    <row r="682" spans="1:13" x14ac:dyDescent="0.3">
      <c r="A682" s="2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</row>
    <row r="683" spans="1:13" x14ac:dyDescent="0.3">
      <c r="A683" s="2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</row>
    <row r="684" spans="1:13" x14ac:dyDescent="0.3">
      <c r="A684" s="2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</row>
    <row r="685" spans="1:13" x14ac:dyDescent="0.3">
      <c r="A685" s="2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</row>
    <row r="686" spans="1:13" x14ac:dyDescent="0.3">
      <c r="A686" s="2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</row>
    <row r="687" spans="1:13" x14ac:dyDescent="0.3">
      <c r="A687" s="2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</row>
    <row r="688" spans="1:13" x14ac:dyDescent="0.3">
      <c r="A688" s="2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</row>
    <row r="689" spans="1:13" x14ac:dyDescent="0.3">
      <c r="A689" s="2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</row>
    <row r="690" spans="1:13" x14ac:dyDescent="0.3">
      <c r="A690" s="2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</row>
    <row r="691" spans="1:13" x14ac:dyDescent="0.3">
      <c r="A691" s="2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</row>
    <row r="692" spans="1:13" x14ac:dyDescent="0.3">
      <c r="A692" s="2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</row>
    <row r="693" spans="1:13" x14ac:dyDescent="0.3">
      <c r="A693" s="2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</row>
    <row r="694" spans="1:13" x14ac:dyDescent="0.3">
      <c r="A694" s="2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</row>
    <row r="695" spans="1:13" x14ac:dyDescent="0.3">
      <c r="A695" s="2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</row>
    <row r="696" spans="1:13" x14ac:dyDescent="0.3">
      <c r="A696" s="2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</row>
    <row r="697" spans="1:13" x14ac:dyDescent="0.3">
      <c r="A697" s="2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</row>
    <row r="698" spans="1:13" x14ac:dyDescent="0.3">
      <c r="A698" s="2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</row>
    <row r="699" spans="1:13" x14ac:dyDescent="0.3">
      <c r="A699" s="2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</row>
    <row r="700" spans="1:13" x14ac:dyDescent="0.3">
      <c r="A700" s="2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</row>
    <row r="701" spans="1:13" x14ac:dyDescent="0.3">
      <c r="A701" s="2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</row>
    <row r="702" spans="1:13" x14ac:dyDescent="0.3">
      <c r="A702" s="2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</row>
    <row r="703" spans="1:13" x14ac:dyDescent="0.3">
      <c r="A703" s="2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</row>
    <row r="704" spans="1:13" x14ac:dyDescent="0.3">
      <c r="A704" s="2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</row>
    <row r="705" spans="1:13" x14ac:dyDescent="0.3">
      <c r="A705" s="2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</row>
    <row r="706" spans="1:13" x14ac:dyDescent="0.3">
      <c r="A706" s="2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</row>
    <row r="707" spans="1:13" x14ac:dyDescent="0.3">
      <c r="A707" s="2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</row>
    <row r="708" spans="1:13" x14ac:dyDescent="0.3">
      <c r="A708" s="2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</row>
    <row r="709" spans="1:13" x14ac:dyDescent="0.3">
      <c r="A709" s="2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</row>
    <row r="710" spans="1:13" x14ac:dyDescent="0.3">
      <c r="A710" s="2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</row>
    <row r="711" spans="1:13" x14ac:dyDescent="0.3">
      <c r="A711" s="2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</row>
    <row r="712" spans="1:13" x14ac:dyDescent="0.3">
      <c r="A712" s="2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</row>
    <row r="713" spans="1:13" x14ac:dyDescent="0.3">
      <c r="A713" s="2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</row>
    <row r="714" spans="1:13" x14ac:dyDescent="0.3">
      <c r="A714" s="2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</row>
    <row r="715" spans="1:13" x14ac:dyDescent="0.3">
      <c r="A715" s="2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</row>
    <row r="716" spans="1:13" x14ac:dyDescent="0.3">
      <c r="A716" s="2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</row>
    <row r="717" spans="1:13" x14ac:dyDescent="0.3">
      <c r="A717" s="2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</row>
    <row r="718" spans="1:13" x14ac:dyDescent="0.3">
      <c r="A718" s="2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</row>
    <row r="719" spans="1:13" x14ac:dyDescent="0.3">
      <c r="A719" s="2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</row>
    <row r="720" spans="1:13" x14ac:dyDescent="0.3">
      <c r="A720" s="2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</row>
    <row r="721" spans="1:13" x14ac:dyDescent="0.3">
      <c r="A721" s="2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</row>
    <row r="722" spans="1:13" x14ac:dyDescent="0.3">
      <c r="A722" s="2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</row>
    <row r="723" spans="1:13" x14ac:dyDescent="0.3">
      <c r="A723" s="2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</row>
    <row r="724" spans="1:13" x14ac:dyDescent="0.3">
      <c r="A724" s="2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</row>
    <row r="725" spans="1:13" x14ac:dyDescent="0.3">
      <c r="A725" s="2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</row>
    <row r="726" spans="1:13" x14ac:dyDescent="0.3">
      <c r="A726" s="2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</row>
    <row r="727" spans="1:13" x14ac:dyDescent="0.3">
      <c r="A727" s="2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</row>
    <row r="728" spans="1:13" x14ac:dyDescent="0.3">
      <c r="A728" s="2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</row>
    <row r="729" spans="1:13" x14ac:dyDescent="0.3">
      <c r="A729" s="2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</row>
    <row r="730" spans="1:13" x14ac:dyDescent="0.3">
      <c r="A730" s="2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</row>
    <row r="731" spans="1:13" x14ac:dyDescent="0.3">
      <c r="A731" s="2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</row>
    <row r="732" spans="1:13" x14ac:dyDescent="0.3">
      <c r="A732" s="2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</row>
    <row r="733" spans="1:13" x14ac:dyDescent="0.3">
      <c r="A733" s="2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</row>
    <row r="734" spans="1:13" x14ac:dyDescent="0.3">
      <c r="A734" s="2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</row>
    <row r="735" spans="1:13" x14ac:dyDescent="0.3">
      <c r="A735" s="2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</row>
    <row r="736" spans="1:13" x14ac:dyDescent="0.3">
      <c r="A736" s="2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</row>
    <row r="737" spans="1:13" x14ac:dyDescent="0.3">
      <c r="A737" s="2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</row>
    <row r="738" spans="1:13" x14ac:dyDescent="0.3">
      <c r="A738" s="2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</row>
    <row r="739" spans="1:13" x14ac:dyDescent="0.3">
      <c r="A739" s="2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</row>
    <row r="740" spans="1:13" x14ac:dyDescent="0.3">
      <c r="A740" s="2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</row>
    <row r="741" spans="1:13" x14ac:dyDescent="0.3">
      <c r="A741" s="2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</row>
    <row r="742" spans="1:13" x14ac:dyDescent="0.3">
      <c r="A742" s="2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</row>
    <row r="743" spans="1:13" x14ac:dyDescent="0.3">
      <c r="A743" s="2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</row>
    <row r="744" spans="1:13" x14ac:dyDescent="0.3">
      <c r="A744" s="2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</row>
    <row r="745" spans="1:13" x14ac:dyDescent="0.3">
      <c r="A745" s="2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</row>
    <row r="746" spans="1:13" x14ac:dyDescent="0.3">
      <c r="A746" s="2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</row>
    <row r="747" spans="1:13" x14ac:dyDescent="0.3">
      <c r="A747" s="2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</row>
    <row r="748" spans="1:13" x14ac:dyDescent="0.3">
      <c r="A748" s="2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</row>
    <row r="749" spans="1:13" x14ac:dyDescent="0.3">
      <c r="A749" s="2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</row>
    <row r="750" spans="1:13" x14ac:dyDescent="0.3">
      <c r="A750" s="2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</row>
    <row r="751" spans="1:13" x14ac:dyDescent="0.3">
      <c r="A751" s="2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</row>
    <row r="752" spans="1:13" x14ac:dyDescent="0.3">
      <c r="A752" s="2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</row>
  </sheetData>
  <mergeCells count="6">
    <mergeCell ref="B26:K26"/>
    <mergeCell ref="A1:K1"/>
    <mergeCell ref="G2:K3"/>
    <mergeCell ref="A4:K4"/>
    <mergeCell ref="C21:K21"/>
    <mergeCell ref="C24:K24"/>
  </mergeCells>
  <phoneticPr fontId="32" type="noConversion"/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D6A39"/>
  </sheetPr>
  <dimension ref="A1:H58"/>
  <sheetViews>
    <sheetView tabSelected="1" zoomScale="130" zoomScaleNormal="130" workbookViewId="0">
      <pane ySplit="9" topLeftCell="A29" activePane="bottomLeft" state="frozen"/>
      <selection pane="bottomLeft" activeCell="C4" sqref="C4"/>
    </sheetView>
  </sheetViews>
  <sheetFormatPr baseColWidth="10" defaultColWidth="3" defaultRowHeight="14.4" x14ac:dyDescent="0.3"/>
  <cols>
    <col min="1" max="1" width="3" style="1"/>
    <col min="2" max="2" width="15.77734375" style="1" customWidth="1"/>
    <col min="3" max="3" width="45" style="1" customWidth="1"/>
    <col min="4" max="4" width="17.88671875" style="1" customWidth="1"/>
    <col min="5" max="5" width="18.33203125" style="1" customWidth="1"/>
    <col min="6" max="6" width="11.33203125" style="1" customWidth="1"/>
    <col min="7" max="7" width="24.44140625" style="1" customWidth="1"/>
    <col min="8" max="8" width="11.6640625" style="1" customWidth="1"/>
    <col min="9" max="16384" width="3" style="1"/>
  </cols>
  <sheetData>
    <row r="1" spans="1:8" x14ac:dyDescent="0.3">
      <c r="A1" s="62"/>
      <c r="B1" s="62"/>
      <c r="C1" s="62"/>
      <c r="D1" s="62"/>
      <c r="E1" s="62"/>
      <c r="F1" s="62"/>
      <c r="G1" s="62"/>
      <c r="H1" s="62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ht="15" customHeight="1" x14ac:dyDescent="0.3">
      <c r="A6" s="3"/>
      <c r="B6" s="3"/>
      <c r="C6" s="3"/>
      <c r="D6" s="3"/>
      <c r="E6" s="3"/>
      <c r="F6" s="3"/>
      <c r="G6" s="3"/>
      <c r="H6" s="3"/>
    </row>
    <row r="7" spans="1:8" ht="16.5" customHeight="1" x14ac:dyDescent="0.3">
      <c r="A7" s="63" t="s">
        <v>0</v>
      </c>
      <c r="B7" s="63"/>
      <c r="C7" s="63"/>
      <c r="D7" s="63"/>
      <c r="E7" s="63"/>
      <c r="F7" s="63"/>
      <c r="G7" s="63"/>
      <c r="H7" s="63"/>
    </row>
    <row r="8" spans="1:8" ht="15" customHeight="1" x14ac:dyDescent="0.3">
      <c r="A8" s="64" t="s">
        <v>69</v>
      </c>
      <c r="B8" s="64"/>
      <c r="C8" s="64"/>
      <c r="D8" s="64"/>
      <c r="E8" s="64"/>
      <c r="F8" s="64"/>
      <c r="G8" s="64"/>
      <c r="H8" s="64"/>
    </row>
    <row r="10" spans="1:8" ht="15" customHeight="1" x14ac:dyDescent="0.3"/>
    <row r="11" spans="1:8" ht="22.5" customHeight="1" x14ac:dyDescent="0.3">
      <c r="A11" s="65" t="s">
        <v>29</v>
      </c>
      <c r="B11" s="65"/>
      <c r="C11" s="65"/>
      <c r="D11" s="65"/>
      <c r="E11" s="65"/>
      <c r="F11" s="65"/>
      <c r="G11" s="65"/>
      <c r="H11" s="65"/>
    </row>
    <row r="12" spans="1:8" ht="15" customHeight="1" x14ac:dyDescent="0.3">
      <c r="A12" s="65"/>
      <c r="B12" s="65"/>
      <c r="C12" s="65"/>
      <c r="D12" s="65"/>
      <c r="E12" s="65"/>
      <c r="F12" s="65"/>
      <c r="G12" s="65"/>
      <c r="H12" s="65"/>
    </row>
    <row r="13" spans="1:8" ht="14.25" customHeight="1" x14ac:dyDescent="0.3">
      <c r="A13" s="66" t="s">
        <v>30</v>
      </c>
      <c r="B13" s="66"/>
      <c r="C13" s="66"/>
      <c r="D13" s="66"/>
      <c r="E13" s="66"/>
      <c r="F13" s="66"/>
      <c r="G13" s="66"/>
      <c r="H13" s="66"/>
    </row>
    <row r="14" spans="1:8" ht="1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15" customHeight="1" x14ac:dyDescent="0.3">
      <c r="A15" s="72" t="s">
        <v>31</v>
      </c>
      <c r="B15" s="72"/>
      <c r="C15" s="72"/>
      <c r="D15" s="72"/>
      <c r="E15" s="72"/>
      <c r="F15" s="72"/>
      <c r="G15" s="72"/>
      <c r="H15" s="72"/>
    </row>
    <row r="16" spans="1:8" x14ac:dyDescent="0.3">
      <c r="A16" s="4"/>
      <c r="B16" s="38" t="s">
        <v>32</v>
      </c>
      <c r="C16" s="39" t="str">
        <f>'Plan de Pruebas'!G2</f>
        <v>PLANIFICACIÓN Y EJECUCIÓN DE CASOS DE PRUEBA</v>
      </c>
      <c r="D16" s="4"/>
      <c r="E16" s="38" t="s">
        <v>1</v>
      </c>
      <c r="F16" s="39"/>
      <c r="G16" s="4"/>
      <c r="H16" s="4"/>
    </row>
    <row r="17" spans="1:8" x14ac:dyDescent="0.3">
      <c r="A17" s="4"/>
      <c r="B17" s="40" t="s">
        <v>33</v>
      </c>
      <c r="C17" s="41"/>
      <c r="D17" s="4"/>
      <c r="E17" s="40" t="s">
        <v>34</v>
      </c>
      <c r="F17" s="41"/>
      <c r="G17" s="4"/>
      <c r="H17" s="4"/>
    </row>
    <row r="18" spans="1:8" x14ac:dyDescent="0.3">
      <c r="A18" s="4"/>
      <c r="B18" s="40" t="s">
        <v>35</v>
      </c>
      <c r="C18" s="42"/>
      <c r="D18" s="4"/>
      <c r="E18" s="40" t="s">
        <v>36</v>
      </c>
      <c r="F18" s="43">
        <v>15</v>
      </c>
      <c r="G18" s="4"/>
      <c r="H18" s="4"/>
    </row>
    <row r="19" spans="1:8" x14ac:dyDescent="0.3">
      <c r="A19" s="4"/>
      <c r="B19" s="40" t="s">
        <v>27</v>
      </c>
      <c r="C19" s="56">
        <f>'Plan de Pruebas'!B24</f>
        <v>14</v>
      </c>
      <c r="D19" s="4"/>
      <c r="E19" s="40" t="s">
        <v>37</v>
      </c>
      <c r="F19" s="41"/>
      <c r="G19" s="4"/>
      <c r="H19" s="4"/>
    </row>
    <row r="20" spans="1:8" x14ac:dyDescent="0.3">
      <c r="A20" s="4"/>
      <c r="B20" s="40" t="s">
        <v>38</v>
      </c>
      <c r="C20" s="45">
        <f>COUNTIF('Plan de Pruebas'!I6:I19,"Exitoso")</f>
        <v>1</v>
      </c>
      <c r="D20" s="4"/>
      <c r="E20" s="40" t="s">
        <v>39</v>
      </c>
      <c r="F20" s="45">
        <f>COUNTIF('Plan de Pruebas'!I6:I19,"Fallido")</f>
        <v>1</v>
      </c>
      <c r="G20" s="4"/>
      <c r="H20" s="4"/>
    </row>
    <row r="21" spans="1:8" x14ac:dyDescent="0.3">
      <c r="A21" s="4"/>
      <c r="B21" s="40" t="s">
        <v>20</v>
      </c>
      <c r="C21" s="56">
        <f>COUNTIF('Plan de Pruebas'!I6:I19,"Ok Técnico")</f>
        <v>1</v>
      </c>
      <c r="D21" s="4"/>
      <c r="E21" s="40" t="s">
        <v>21</v>
      </c>
      <c r="F21" s="56">
        <f>COUNTIF('Plan de Pruebas'!I6:I19,"No Aplica")</f>
        <v>1</v>
      </c>
      <c r="G21" s="4"/>
      <c r="H21" s="4"/>
    </row>
    <row r="22" spans="1:8" ht="15" customHeight="1" thickBot="1" x14ac:dyDescent="0.35">
      <c r="A22" s="3"/>
      <c r="B22" s="3"/>
      <c r="C22" s="3"/>
      <c r="D22" s="3"/>
      <c r="E22" s="3"/>
      <c r="F22" s="3"/>
      <c r="G22" s="3"/>
      <c r="H22" s="3"/>
    </row>
    <row r="23" spans="1:8" ht="15" customHeight="1" x14ac:dyDescent="0.3">
      <c r="A23" s="72" t="s">
        <v>40</v>
      </c>
      <c r="B23" s="72"/>
      <c r="C23" s="72"/>
      <c r="D23" s="72"/>
      <c r="E23" s="72"/>
      <c r="F23" s="72"/>
      <c r="G23" s="72"/>
      <c r="H23" s="72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B25" s="44" t="s">
        <v>41</v>
      </c>
      <c r="C25" s="44" t="s">
        <v>42</v>
      </c>
      <c r="D25" s="44" t="s">
        <v>43</v>
      </c>
      <c r="E25" s="44" t="s">
        <v>44</v>
      </c>
    </row>
    <row r="26" spans="1:8" x14ac:dyDescent="0.3">
      <c r="B26" s="45" t="str">
        <f>'Plan de Pruebas'!G6</f>
        <v>Por Definir</v>
      </c>
      <c r="C26" s="45" t="s">
        <v>45</v>
      </c>
      <c r="D26" s="45"/>
      <c r="E26" s="45"/>
    </row>
    <row r="27" spans="1:8" ht="15" customHeight="1" thickBot="1" x14ac:dyDescent="0.35">
      <c r="A27" s="3"/>
      <c r="B27" s="3"/>
      <c r="C27" s="3"/>
      <c r="D27" s="3"/>
      <c r="E27" s="3"/>
      <c r="F27" s="3"/>
      <c r="G27" s="3"/>
      <c r="H27" s="3"/>
    </row>
    <row r="28" spans="1:8" ht="15" customHeight="1" thickBot="1" x14ac:dyDescent="0.35">
      <c r="A28" s="73" t="s">
        <v>46</v>
      </c>
      <c r="B28" s="74"/>
      <c r="C28" s="74"/>
      <c r="D28" s="74"/>
      <c r="E28" s="74"/>
      <c r="F28" s="74"/>
      <c r="G28" s="74"/>
      <c r="H28" s="75"/>
    </row>
    <row r="29" spans="1:8" ht="15" customHeight="1" thickBot="1" x14ac:dyDescent="0.35">
      <c r="B29" s="76" t="s">
        <v>47</v>
      </c>
      <c r="C29" s="76"/>
      <c r="D29" s="76"/>
      <c r="E29" s="76"/>
      <c r="F29" s="76"/>
      <c r="G29" s="76"/>
    </row>
    <row r="30" spans="1:8" ht="15" customHeight="1" thickBot="1" x14ac:dyDescent="0.35">
      <c r="B30" s="46"/>
      <c r="C30" s="46"/>
      <c r="D30" s="46"/>
      <c r="E30" s="46"/>
      <c r="F30" s="46"/>
      <c r="G30" s="46"/>
    </row>
    <row r="31" spans="1:8" ht="15" customHeight="1" thickBot="1" x14ac:dyDescent="0.35">
      <c r="B31" s="46"/>
      <c r="C31" s="46"/>
      <c r="D31" s="46"/>
      <c r="E31" s="46"/>
      <c r="F31" s="46"/>
      <c r="G31" s="46"/>
    </row>
    <row r="32" spans="1:8" ht="15" customHeight="1" thickBot="1" x14ac:dyDescent="0.35">
      <c r="B32" s="46"/>
      <c r="C32" s="46"/>
      <c r="D32" s="46"/>
      <c r="E32" s="46"/>
      <c r="F32" s="46"/>
      <c r="G32" s="46"/>
    </row>
    <row r="33" spans="2:7" ht="15" customHeight="1" thickBot="1" x14ac:dyDescent="0.35">
      <c r="B33" s="46"/>
      <c r="C33" s="46"/>
      <c r="D33" s="46"/>
      <c r="E33" s="46"/>
      <c r="F33" s="46"/>
      <c r="G33" s="46"/>
    </row>
    <row r="34" spans="2:7" ht="15" customHeight="1" thickBot="1" x14ac:dyDescent="0.35">
      <c r="B34" s="46"/>
      <c r="C34" s="46"/>
      <c r="D34" s="46"/>
      <c r="E34" s="46"/>
      <c r="F34" s="46"/>
      <c r="G34" s="46"/>
    </row>
    <row r="35" spans="2:7" ht="15" customHeight="1" thickBot="1" x14ac:dyDescent="0.35">
      <c r="B35" s="46"/>
      <c r="C35" s="46"/>
      <c r="D35" s="46"/>
      <c r="E35" s="46"/>
      <c r="F35" s="46"/>
      <c r="G35" s="46"/>
    </row>
    <row r="36" spans="2:7" ht="15" customHeight="1" thickBot="1" x14ac:dyDescent="0.35">
      <c r="B36" s="46"/>
      <c r="C36" s="46"/>
      <c r="D36" s="46"/>
      <c r="E36" s="46"/>
      <c r="F36" s="46"/>
      <c r="G36" s="46"/>
    </row>
    <row r="37" spans="2:7" ht="15" customHeight="1" thickBot="1" x14ac:dyDescent="0.35">
      <c r="B37" s="46"/>
      <c r="C37" s="46"/>
      <c r="D37" s="46"/>
      <c r="E37" s="46"/>
      <c r="F37" s="46"/>
      <c r="G37" s="46"/>
    </row>
    <row r="38" spans="2:7" ht="15" customHeight="1" thickBot="1" x14ac:dyDescent="0.35">
      <c r="B38" s="46"/>
      <c r="C38" s="46"/>
      <c r="D38" s="46"/>
      <c r="E38" s="46"/>
      <c r="F38" s="46"/>
      <c r="G38" s="46"/>
    </row>
    <row r="39" spans="2:7" ht="15" customHeight="1" thickBot="1" x14ac:dyDescent="0.35">
      <c r="B39" s="46"/>
      <c r="C39" s="46"/>
      <c r="D39" s="46"/>
      <c r="E39" s="46"/>
      <c r="F39" s="46"/>
      <c r="G39" s="46"/>
    </row>
    <row r="40" spans="2:7" ht="15" customHeight="1" thickBot="1" x14ac:dyDescent="0.35">
      <c r="B40" s="46"/>
      <c r="C40" s="46"/>
      <c r="D40" s="46"/>
      <c r="E40" s="46"/>
      <c r="F40" s="46"/>
      <c r="G40" s="46"/>
    </row>
    <row r="41" spans="2:7" ht="15" customHeight="1" thickBot="1" x14ac:dyDescent="0.35">
      <c r="B41" s="46"/>
      <c r="C41" s="46"/>
      <c r="D41" s="46"/>
      <c r="E41" s="46"/>
      <c r="F41" s="46"/>
      <c r="G41" s="46"/>
    </row>
    <row r="42" spans="2:7" ht="15" customHeight="1" thickBot="1" x14ac:dyDescent="0.35">
      <c r="B42" s="47"/>
      <c r="C42" s="47"/>
      <c r="D42" s="47"/>
      <c r="E42" s="47"/>
      <c r="F42" s="47"/>
      <c r="G42" s="47"/>
    </row>
    <row r="43" spans="2:7" x14ac:dyDescent="0.3">
      <c r="B43" s="48"/>
      <c r="C43" s="48"/>
      <c r="D43" s="48"/>
      <c r="E43" s="48"/>
      <c r="F43" s="48"/>
      <c r="G43" s="48"/>
    </row>
    <row r="44" spans="2:7" x14ac:dyDescent="0.3">
      <c r="B44" s="47"/>
      <c r="C44" s="47"/>
      <c r="D44" s="47"/>
      <c r="E44" s="47"/>
      <c r="F44" s="47"/>
      <c r="G44" s="47"/>
    </row>
    <row r="45" spans="2:7" x14ac:dyDescent="0.3">
      <c r="B45" s="48"/>
      <c r="C45" s="48"/>
      <c r="D45" s="48"/>
      <c r="E45" s="48"/>
      <c r="F45" s="48"/>
      <c r="G45" s="48"/>
    </row>
    <row r="46" spans="2:7" x14ac:dyDescent="0.3">
      <c r="B46" s="47"/>
      <c r="C46" s="47"/>
      <c r="D46" s="47"/>
      <c r="E46" s="47"/>
      <c r="F46" s="47"/>
      <c r="G46" s="47"/>
    </row>
    <row r="47" spans="2:7" x14ac:dyDescent="0.3">
      <c r="B47" s="48"/>
      <c r="C47" s="48"/>
      <c r="D47" s="48"/>
      <c r="E47" s="48"/>
      <c r="F47" s="48"/>
      <c r="G47" s="48"/>
    </row>
    <row r="48" spans="2:7" ht="15" thickBot="1" x14ac:dyDescent="0.35">
      <c r="B48" s="47"/>
      <c r="C48" s="47"/>
      <c r="D48" s="47"/>
      <c r="E48" s="47"/>
      <c r="F48" s="47"/>
      <c r="G48" s="47"/>
    </row>
    <row r="49" spans="1:8" ht="15" thickBot="1" x14ac:dyDescent="0.35">
      <c r="B49" s="47"/>
      <c r="C49" s="47"/>
      <c r="D49" s="47"/>
      <c r="E49" s="47"/>
      <c r="F49" s="47"/>
      <c r="G49" s="47"/>
    </row>
    <row r="50" spans="1:8" x14ac:dyDescent="0.3">
      <c r="B50" s="48"/>
      <c r="C50" s="48"/>
      <c r="D50" s="48"/>
      <c r="E50" s="48"/>
      <c r="F50" s="48"/>
      <c r="G50" s="48"/>
    </row>
    <row r="51" spans="1:8" x14ac:dyDescent="0.3">
      <c r="B51" s="47"/>
      <c r="C51" s="47"/>
      <c r="D51" s="47"/>
      <c r="E51" s="47"/>
      <c r="F51" s="47"/>
      <c r="G51" s="47"/>
    </row>
    <row r="52" spans="1:8" x14ac:dyDescent="0.3">
      <c r="B52" s="48"/>
      <c r="C52" s="48"/>
      <c r="D52" s="48"/>
      <c r="E52" s="48"/>
      <c r="F52" s="48"/>
      <c r="G52" s="48"/>
    </row>
    <row r="53" spans="1:8" x14ac:dyDescent="0.3">
      <c r="B53" s="47"/>
      <c r="C53" s="47"/>
      <c r="D53" s="47"/>
      <c r="E53" s="47"/>
      <c r="F53" s="47"/>
      <c r="G53" s="47"/>
    </row>
    <row r="54" spans="1:8" x14ac:dyDescent="0.3">
      <c r="B54" s="67" t="s">
        <v>49</v>
      </c>
      <c r="C54" s="67"/>
      <c r="D54" s="67"/>
      <c r="E54" s="67"/>
      <c r="F54" s="67"/>
      <c r="G54" s="67"/>
    </row>
    <row r="55" spans="1:8" ht="15" thickBot="1" x14ac:dyDescent="0.35">
      <c r="A55" s="3"/>
      <c r="B55" s="3"/>
      <c r="C55" s="3"/>
      <c r="D55" s="3"/>
      <c r="E55" s="3"/>
      <c r="F55" s="3"/>
      <c r="G55" s="3"/>
      <c r="H55" s="3"/>
    </row>
    <row r="56" spans="1:8" ht="17.25" customHeight="1" thickBot="1" x14ac:dyDescent="0.35">
      <c r="A56" s="68" t="s">
        <v>50</v>
      </c>
      <c r="B56" s="69"/>
      <c r="C56" s="69"/>
      <c r="D56" s="69"/>
      <c r="E56" s="69"/>
      <c r="F56" s="69"/>
      <c r="G56" s="69"/>
      <c r="H56" s="70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71" t="s">
        <v>70</v>
      </c>
      <c r="B58" s="71"/>
      <c r="C58" s="71"/>
      <c r="D58" s="71"/>
      <c r="E58" s="71"/>
      <c r="F58" s="71"/>
      <c r="G58" s="71"/>
      <c r="H58" s="71"/>
    </row>
  </sheetData>
  <mergeCells count="12">
    <mergeCell ref="B54:G54"/>
    <mergeCell ref="A56:H56"/>
    <mergeCell ref="A58:H58"/>
    <mergeCell ref="A15:H15"/>
    <mergeCell ref="A23:H23"/>
    <mergeCell ref="A28:H28"/>
    <mergeCell ref="B29:G29"/>
    <mergeCell ref="A1:H1"/>
    <mergeCell ref="A7:H7"/>
    <mergeCell ref="A8:H8"/>
    <mergeCell ref="A11:H12"/>
    <mergeCell ref="A13:H1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H53"/>
  <sheetViews>
    <sheetView zoomScale="130" zoomScaleNormal="130" workbookViewId="0">
      <pane ySplit="9" topLeftCell="A10" activePane="bottomLeft" state="frozen"/>
      <selection pane="bottomLeft" activeCell="K5" sqref="K5"/>
    </sheetView>
  </sheetViews>
  <sheetFormatPr baseColWidth="10" defaultColWidth="3" defaultRowHeight="14.4" x14ac:dyDescent="0.3"/>
  <cols>
    <col min="1" max="1" width="3" style="1"/>
    <col min="2" max="2" width="15.77734375" style="1" customWidth="1"/>
    <col min="3" max="3" width="43.5546875" style="1" customWidth="1"/>
    <col min="4" max="4" width="16.88671875" style="1" customWidth="1"/>
    <col min="5" max="5" width="13.44140625" style="1" customWidth="1"/>
    <col min="6" max="6" width="12.88671875" style="1" customWidth="1"/>
    <col min="7" max="16384" width="3" style="1"/>
  </cols>
  <sheetData>
    <row r="1" spans="1:8" x14ac:dyDescent="0.3">
      <c r="A1" s="77"/>
      <c r="B1" s="77"/>
      <c r="C1" s="77"/>
      <c r="D1" s="77"/>
      <c r="E1" s="77"/>
      <c r="F1" s="77"/>
      <c r="G1" s="77"/>
      <c r="H1" s="77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ht="15" customHeight="1" x14ac:dyDescent="0.3">
      <c r="A6" s="3"/>
      <c r="B6" s="3"/>
      <c r="C6" s="3"/>
      <c r="D6" s="3"/>
      <c r="E6" s="3"/>
      <c r="F6" s="3"/>
      <c r="G6" s="3"/>
      <c r="H6" s="3"/>
    </row>
    <row r="7" spans="1:8" ht="16.5" customHeight="1" x14ac:dyDescent="0.3">
      <c r="A7" s="78" t="s">
        <v>0</v>
      </c>
      <c r="B7" s="78"/>
      <c r="C7" s="78"/>
      <c r="D7" s="78"/>
      <c r="E7" s="78"/>
      <c r="F7" s="78"/>
      <c r="G7" s="78"/>
      <c r="H7" s="78"/>
    </row>
    <row r="8" spans="1:8" ht="15" customHeight="1" x14ac:dyDescent="0.3">
      <c r="A8" s="79" t="s">
        <v>69</v>
      </c>
      <c r="B8" s="79"/>
      <c r="C8" s="79"/>
      <c r="D8" s="79"/>
      <c r="E8" s="79"/>
      <c r="F8" s="79"/>
      <c r="G8" s="79"/>
      <c r="H8" s="79"/>
    </row>
    <row r="10" spans="1:8" ht="15" customHeight="1" thickBot="1" x14ac:dyDescent="0.35"/>
    <row r="11" spans="1:8" ht="22.5" customHeight="1" thickBot="1" x14ac:dyDescent="0.35">
      <c r="A11" s="80" t="s">
        <v>51</v>
      </c>
      <c r="B11" s="80"/>
      <c r="C11" s="80"/>
      <c r="D11" s="80"/>
      <c r="E11" s="80"/>
      <c r="F11" s="80"/>
      <c r="G11" s="80"/>
      <c r="H11" s="80"/>
    </row>
    <row r="12" spans="1:8" x14ac:dyDescent="0.3">
      <c r="A12" s="83" t="s">
        <v>52</v>
      </c>
      <c r="B12" s="84"/>
      <c r="C12" s="84"/>
      <c r="D12" s="84"/>
      <c r="E12" s="84"/>
      <c r="F12" s="84"/>
      <c r="G12" s="84"/>
      <c r="H12" s="85"/>
    </row>
    <row r="13" spans="1:8" ht="15" customHeight="1" thickBot="1" x14ac:dyDescent="0.35">
      <c r="A13" s="86"/>
      <c r="B13" s="87"/>
      <c r="C13" s="87"/>
      <c r="D13" s="87"/>
      <c r="E13" s="87"/>
      <c r="F13" s="87"/>
      <c r="G13" s="87"/>
      <c r="H13" s="88"/>
    </row>
    <row r="14" spans="1:8" ht="15" customHeight="1" thickBot="1" x14ac:dyDescent="0.35">
      <c r="A14" s="3"/>
      <c r="B14" s="3"/>
      <c r="C14" s="3"/>
      <c r="D14" s="3"/>
      <c r="E14" s="3"/>
      <c r="F14" s="3"/>
      <c r="G14" s="3"/>
      <c r="H14" s="3"/>
    </row>
    <row r="15" spans="1:8" ht="15" customHeight="1" x14ac:dyDescent="0.3">
      <c r="A15" s="89" t="s">
        <v>31</v>
      </c>
      <c r="B15" s="89"/>
      <c r="C15" s="89"/>
      <c r="D15" s="89"/>
      <c r="E15" s="89"/>
      <c r="F15" s="89"/>
      <c r="G15" s="89"/>
      <c r="H15" s="89"/>
    </row>
    <row r="16" spans="1:8" x14ac:dyDescent="0.3">
      <c r="A16" s="4"/>
      <c r="B16" s="49" t="s">
        <v>32</v>
      </c>
      <c r="C16" s="50" t="str">
        <f>'Plan de Pruebas'!G2</f>
        <v>PLANIFICACIÓN Y EJECUCIÓN DE CASOS DE PRUEBA</v>
      </c>
      <c r="D16" s="4"/>
      <c r="E16" s="49" t="s">
        <v>1</v>
      </c>
      <c r="F16" s="50" t="e">
        <f>#REF!</f>
        <v>#REF!</v>
      </c>
      <c r="G16" s="4"/>
      <c r="H16" s="4"/>
    </row>
    <row r="17" spans="1:8" x14ac:dyDescent="0.3">
      <c r="A17" s="4"/>
      <c r="B17" s="51" t="s">
        <v>53</v>
      </c>
      <c r="C17" s="41" t="s">
        <v>65</v>
      </c>
      <c r="D17" s="4"/>
      <c r="E17" s="51" t="s">
        <v>54</v>
      </c>
      <c r="F17" s="41" t="str">
        <f>'Plan de Pruebas'!H6</f>
        <v>Por Definir</v>
      </c>
      <c r="G17" s="4"/>
      <c r="H17" s="4"/>
    </row>
    <row r="18" spans="1:8" x14ac:dyDescent="0.3">
      <c r="A18" s="4"/>
      <c r="B18" s="51" t="s">
        <v>35</v>
      </c>
      <c r="C18" s="52"/>
      <c r="D18" s="4"/>
      <c r="E18" s="51" t="s">
        <v>36</v>
      </c>
      <c r="F18" s="53"/>
      <c r="G18" s="4"/>
      <c r="H18" s="4"/>
    </row>
    <row r="19" spans="1:8" x14ac:dyDescent="0.3">
      <c r="A19" s="4"/>
      <c r="B19" s="51" t="s">
        <v>27</v>
      </c>
      <c r="C19" s="41">
        <f>'Plan de Pruebas'!B24</f>
        <v>14</v>
      </c>
      <c r="D19" s="4"/>
      <c r="E19" s="51" t="s">
        <v>55</v>
      </c>
      <c r="F19" s="41"/>
      <c r="G19" s="4"/>
      <c r="H19" s="4"/>
    </row>
    <row r="20" spans="1:8" x14ac:dyDescent="0.3">
      <c r="A20" s="4"/>
      <c r="B20" s="51" t="s">
        <v>56</v>
      </c>
      <c r="C20" s="53">
        <f>COUNTIF('Plan de Pruebas'!I6:I19,"Ok Técnico")</f>
        <v>1</v>
      </c>
      <c r="D20" s="4"/>
      <c r="E20" s="51" t="s">
        <v>38</v>
      </c>
      <c r="F20" s="53">
        <f>COUNTIF('Plan de Pruebas'!I6:I19,"Exitoso")</f>
        <v>1</v>
      </c>
      <c r="G20" s="4"/>
      <c r="H20" s="4"/>
    </row>
    <row r="21" spans="1:8" x14ac:dyDescent="0.3">
      <c r="A21" s="4"/>
      <c r="B21" s="51" t="s">
        <v>39</v>
      </c>
      <c r="C21" s="41">
        <f>COUNTIF('Plan de Pruebas'!I6:I19,"Fallido")</f>
        <v>1</v>
      </c>
      <c r="D21" s="4"/>
      <c r="E21" s="51" t="s">
        <v>57</v>
      </c>
      <c r="F21" s="41">
        <f>COUNTIF('Plan de Pruebas'!I6:I19,"Bloqueado")</f>
        <v>0</v>
      </c>
      <c r="G21" s="4"/>
      <c r="H21" s="4"/>
    </row>
    <row r="22" spans="1:8" ht="1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15" customHeight="1" x14ac:dyDescent="0.3">
      <c r="A23" s="89" t="s">
        <v>58</v>
      </c>
      <c r="B23" s="89"/>
      <c r="C23" s="89"/>
      <c r="D23" s="89"/>
      <c r="E23" s="89"/>
      <c r="F23" s="89"/>
      <c r="G23" s="89"/>
      <c r="H23" s="89"/>
    </row>
    <row r="25" spans="1:8" x14ac:dyDescent="0.3">
      <c r="B25" s="54" t="s">
        <v>41</v>
      </c>
      <c r="C25" s="54" t="s">
        <v>59</v>
      </c>
      <c r="D25" s="54" t="s">
        <v>60</v>
      </c>
      <c r="E25" s="54" t="s">
        <v>61</v>
      </c>
    </row>
    <row r="26" spans="1:8" x14ac:dyDescent="0.3">
      <c r="B26" s="55" t="str">
        <f>'Plan de Pruebas'!H6</f>
        <v>Por Definir</v>
      </c>
      <c r="C26" s="55" t="s">
        <v>62</v>
      </c>
      <c r="D26" s="55"/>
      <c r="E26" s="55"/>
    </row>
    <row r="27" spans="1:8" ht="15" customHeight="1" thickBot="1" x14ac:dyDescent="0.35">
      <c r="A27" s="3"/>
      <c r="B27" s="3"/>
      <c r="C27" s="3"/>
      <c r="D27" s="3"/>
      <c r="E27" s="3"/>
      <c r="F27" s="3"/>
      <c r="G27" s="3"/>
      <c r="H27" s="3"/>
    </row>
    <row r="28" spans="1:8" ht="15" customHeight="1" thickBot="1" x14ac:dyDescent="0.35">
      <c r="A28" s="90" t="s">
        <v>63</v>
      </c>
      <c r="B28" s="90"/>
      <c r="C28" s="90"/>
      <c r="D28" s="90"/>
      <c r="E28" s="90"/>
      <c r="F28" s="90"/>
      <c r="G28" s="90"/>
      <c r="H28" s="90"/>
    </row>
    <row r="29" spans="1:8" ht="15" customHeight="1" thickBot="1" x14ac:dyDescent="0.35">
      <c r="B29" s="91" t="s">
        <v>47</v>
      </c>
      <c r="C29" s="91"/>
      <c r="D29" s="91"/>
      <c r="E29" s="91"/>
      <c r="F29" s="91"/>
      <c r="G29" s="91"/>
    </row>
    <row r="30" spans="1:8" ht="15" customHeight="1" x14ac:dyDescent="0.3">
      <c r="B30" s="47"/>
      <c r="C30" s="47"/>
      <c r="D30" s="47"/>
      <c r="E30" s="47"/>
      <c r="F30" s="47"/>
      <c r="G30" s="47"/>
    </row>
    <row r="31" spans="1:8" x14ac:dyDescent="0.3">
      <c r="B31" s="48"/>
      <c r="C31" s="48"/>
      <c r="D31" s="48"/>
      <c r="E31" s="48"/>
      <c r="F31" s="48"/>
      <c r="G31" s="48"/>
    </row>
    <row r="32" spans="1:8" x14ac:dyDescent="0.3">
      <c r="B32" s="47"/>
      <c r="C32" s="47"/>
      <c r="D32" s="47"/>
      <c r="E32" s="47"/>
      <c r="F32" s="47"/>
      <c r="G32" s="47"/>
    </row>
    <row r="33" spans="2:7" x14ac:dyDescent="0.3">
      <c r="B33" s="48"/>
      <c r="C33" s="48"/>
      <c r="D33" s="48"/>
      <c r="E33" s="48"/>
      <c r="F33" s="48"/>
      <c r="G33" s="48"/>
    </row>
    <row r="34" spans="2:7" x14ac:dyDescent="0.3">
      <c r="B34" s="47"/>
      <c r="C34" s="47"/>
      <c r="D34" s="47"/>
      <c r="E34" s="47"/>
      <c r="F34" s="47"/>
      <c r="G34" s="47"/>
    </row>
    <row r="35" spans="2:7" x14ac:dyDescent="0.3">
      <c r="B35" s="48"/>
      <c r="C35" s="48"/>
      <c r="D35" s="48"/>
      <c r="E35" s="48"/>
      <c r="F35" s="48"/>
      <c r="G35" s="48"/>
    </row>
    <row r="36" spans="2:7" x14ac:dyDescent="0.3">
      <c r="B36" s="47"/>
      <c r="C36" s="47"/>
      <c r="D36" s="47"/>
      <c r="E36" s="47"/>
      <c r="F36" s="47"/>
      <c r="G36" s="47"/>
    </row>
    <row r="37" spans="2:7" x14ac:dyDescent="0.3">
      <c r="B37" s="92" t="s">
        <v>48</v>
      </c>
      <c r="C37" s="92"/>
      <c r="D37" s="92"/>
      <c r="E37" s="92"/>
      <c r="F37" s="92"/>
      <c r="G37" s="92"/>
    </row>
    <row r="38" spans="2:7" x14ac:dyDescent="0.3">
      <c r="B38" s="81" t="s">
        <v>28</v>
      </c>
      <c r="C38" s="81"/>
      <c r="D38" s="81"/>
      <c r="E38" s="81"/>
      <c r="F38" s="81"/>
      <c r="G38" s="81"/>
    </row>
    <row r="39" spans="2:7" ht="15" thickBot="1" x14ac:dyDescent="0.35">
      <c r="B39" s="48"/>
      <c r="C39" s="48"/>
      <c r="D39" s="48"/>
      <c r="E39" s="48"/>
      <c r="F39" s="48"/>
      <c r="G39" s="48"/>
    </row>
    <row r="40" spans="2:7" ht="15" thickBot="1" x14ac:dyDescent="0.35">
      <c r="B40" s="48"/>
      <c r="C40" s="48"/>
      <c r="D40" s="48"/>
      <c r="E40" s="48"/>
      <c r="F40" s="48"/>
      <c r="G40" s="48"/>
    </row>
    <row r="41" spans="2:7" ht="15" thickBot="1" x14ac:dyDescent="0.35">
      <c r="B41" s="48"/>
      <c r="C41" s="48"/>
      <c r="D41" s="48"/>
      <c r="E41" s="48"/>
      <c r="F41" s="48"/>
      <c r="G41" s="48"/>
    </row>
    <row r="42" spans="2:7" ht="15" thickBot="1" x14ac:dyDescent="0.35">
      <c r="B42" s="48"/>
      <c r="C42" s="48"/>
      <c r="D42" s="48"/>
      <c r="E42" s="48"/>
      <c r="F42" s="48"/>
      <c r="G42" s="48"/>
    </row>
    <row r="43" spans="2:7" ht="15" thickBot="1" x14ac:dyDescent="0.35">
      <c r="B43" s="48"/>
      <c r="C43" s="48"/>
      <c r="D43" s="48"/>
      <c r="E43" s="48"/>
      <c r="F43" s="48"/>
      <c r="G43" s="48"/>
    </row>
    <row r="44" spans="2:7" ht="15" thickBot="1" x14ac:dyDescent="0.35">
      <c r="B44" s="47"/>
      <c r="C44" s="47"/>
      <c r="D44" s="47"/>
      <c r="E44" s="47"/>
      <c r="F44" s="47"/>
      <c r="G44" s="47"/>
    </row>
    <row r="45" spans="2:7" x14ac:dyDescent="0.3">
      <c r="B45" s="48"/>
      <c r="C45" s="48"/>
      <c r="D45" s="48"/>
      <c r="E45" s="48"/>
      <c r="F45" s="48"/>
      <c r="G45" s="48"/>
    </row>
    <row r="46" spans="2:7" x14ac:dyDescent="0.3">
      <c r="B46" s="47"/>
      <c r="C46" s="47"/>
      <c r="D46" s="47"/>
      <c r="E46" s="47"/>
      <c r="F46" s="47"/>
      <c r="G46" s="47"/>
    </row>
    <row r="47" spans="2:7" x14ac:dyDescent="0.3">
      <c r="B47" s="48"/>
      <c r="C47" s="48"/>
      <c r="D47" s="48"/>
      <c r="E47" s="48"/>
      <c r="F47" s="48"/>
      <c r="G47" s="48"/>
    </row>
    <row r="48" spans="2:7" x14ac:dyDescent="0.3">
      <c r="B48" s="47"/>
      <c r="C48" s="47"/>
      <c r="D48" s="47"/>
      <c r="E48" s="47"/>
      <c r="F48" s="47"/>
      <c r="G48" s="47"/>
    </row>
    <row r="49" spans="1:8" x14ac:dyDescent="0.3">
      <c r="B49" s="67" t="s">
        <v>49</v>
      </c>
      <c r="C49" s="67"/>
      <c r="D49" s="67"/>
      <c r="E49" s="67"/>
      <c r="F49" s="67"/>
      <c r="G49" s="67"/>
    </row>
    <row r="50" spans="1:8" ht="15" customHeight="1" x14ac:dyDescent="0.3"/>
    <row r="51" spans="1:8" ht="18" customHeight="1" x14ac:dyDescent="0.3">
      <c r="A51" s="82" t="s">
        <v>64</v>
      </c>
      <c r="B51" s="82"/>
      <c r="C51" s="82"/>
      <c r="D51" s="82"/>
      <c r="E51" s="82"/>
      <c r="F51" s="82"/>
      <c r="G51" s="82"/>
      <c r="H51" s="82"/>
    </row>
    <row r="53" spans="1:8" x14ac:dyDescent="0.3">
      <c r="A53" s="71" t="s">
        <v>70</v>
      </c>
      <c r="B53" s="71"/>
      <c r="C53" s="71"/>
      <c r="D53" s="71"/>
      <c r="E53" s="71"/>
      <c r="F53" s="71"/>
      <c r="G53" s="71"/>
      <c r="H53" s="71"/>
    </row>
  </sheetData>
  <mergeCells count="14">
    <mergeCell ref="B49:G49"/>
    <mergeCell ref="A51:H51"/>
    <mergeCell ref="A53:H53"/>
    <mergeCell ref="A12:H13"/>
    <mergeCell ref="A15:H15"/>
    <mergeCell ref="A23:H23"/>
    <mergeCell ref="A28:H28"/>
    <mergeCell ref="B29:G29"/>
    <mergeCell ref="B37:G37"/>
    <mergeCell ref="A1:H1"/>
    <mergeCell ref="A7:H7"/>
    <mergeCell ref="A8:H8"/>
    <mergeCell ref="A11:H11"/>
    <mergeCell ref="B38:G3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Pruebas</vt:lpstr>
      <vt:lpstr>V°B Usuario</vt:lpstr>
      <vt:lpstr>Ok Técnico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Quiñelen</dc:creator>
  <dc:description/>
  <cp:lastModifiedBy>Jaime Quiñelen</cp:lastModifiedBy>
  <cp:revision>0</cp:revision>
  <dcterms:created xsi:type="dcterms:W3CDTF">2015-06-05T18:19:34Z</dcterms:created>
  <dcterms:modified xsi:type="dcterms:W3CDTF">2026-05-19T17:57:14Z</dcterms:modified>
  <dc:language>en-US</dc:language>
</cp:coreProperties>
</file>